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11646f9aa45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3163d001c7e4d24"/>
    <x:sheet xmlns:r="http://schemas.openxmlformats.org/officeDocument/2006/relationships" name="Elections" sheetId="2" r:id="Re2d725f487264707"/>
    <x:sheet xmlns:r="http://schemas.openxmlformats.org/officeDocument/2006/relationships" name="Polls" sheetId="3" r:id="Ra642082881964098"/>
    <x:sheet xmlns:r="http://schemas.openxmlformats.org/officeDocument/2006/relationships" name="Comparisons" sheetId="4" r:id="R592ae776340d4e17"/>
    <x:sheet xmlns:r="http://schemas.openxmlformats.org/officeDocument/2006/relationships" name="Poll_Party" sheetId="5" r:id="R9d7144633c904a78"/>
    <x:sheet xmlns:r="http://schemas.openxmlformats.org/officeDocument/2006/relationships" name="Data_Quality" sheetId="6" r:id="Ra140bc7c257042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83c62a0694605" /><Relationship Type="http://schemas.openxmlformats.org/officeDocument/2006/relationships/theme" Target="/xl/theme/theme1.xml" Id="Rfc48846ed85e4f81" /><Relationship Type="http://schemas.openxmlformats.org/officeDocument/2006/relationships/sharedStrings" Target="/xl/sharedStrings.xml" Id="R93a0e71540b241d8" /><Relationship Type="http://schemas.openxmlformats.org/officeDocument/2006/relationships/worksheet" Target="/xl/worksheets/sheet1.xml" Id="Rb3163d001c7e4d24" /><Relationship Type="http://schemas.openxmlformats.org/officeDocument/2006/relationships/worksheet" Target="/xl/worksheets/sheet2.xml" Id="Re2d725f487264707" /><Relationship Type="http://schemas.openxmlformats.org/officeDocument/2006/relationships/worksheet" Target="/xl/worksheets/sheet3.xml" Id="Ra642082881964098" /><Relationship Type="http://schemas.openxmlformats.org/officeDocument/2006/relationships/worksheet" Target="/xl/worksheets/sheet4.xml" Id="R592ae776340d4e17" /><Relationship Type="http://schemas.openxmlformats.org/officeDocument/2006/relationships/worksheet" Target="/xl/worksheets/sheet5.xml" Id="R9d7144633c904a78" /><Relationship Type="http://schemas.openxmlformats.org/officeDocument/2006/relationships/worksheet" Target="/xl/worksheets/sheet6.xml" Id="Ra140bc7c257042e3" /></Relationships>
</file>

<file path=xl/tables/table1.xml><?xml version="1.0" encoding="utf-8"?>
<x:table xmlns:x="http://schemas.openxmlformats.org/spreadsheetml/2006/main" id="1" name="SuppElectionsTable" displayName="SuppElectionsTable" ref="A1:K5" headerRowCount="1" totalsRowCount="0" totalsRowShown="0">
  <x:tableColumns count="11">
    <x:tableColumn id="1" name="election_id"/>
    <x:tableColumn id="2" name="country"/>
    <x:tableColumn id="3" name="country_code"/>
    <x:tableColumn id="4" name="region"/>
    <x:tableColumn id="5" name="election_level"/>
    <x:tableColumn id="6" name="election_name"/>
    <x:tableColumn id="7" name="election_date"/>
    <x:tableColumn id="8" name="article_date"/>
    <x:tableColumn id="9" name="result_status"/>
    <x:tableColumn id="10" name="source_url"/>
    <x:tableColumn id="11" name="source_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PollsTable" displayName="SuppPollsTable" ref="A1:K22" headerRowCount="1" totalsRowCount="0" totalsRowShown="0">
  <x:tableColumns count="11">
    <x:tableColumn id="1" name="poll_id"/>
    <x:tableColumn id="2" name="election_id"/>
    <x:tableColumn id="3" name="pollster"/>
    <x:tableColumn id="4" name="commissioner"/>
    <x:tableColumn id="5" name="method"/>
    <x:tableColumn id="6" name="fieldwork_start"/>
    <x:tableColumn id="7" name="fieldwork_end"/>
    <x:tableColumn id="8" name="sample_size"/>
    <x:tableColumn id="9" name="source_url"/>
    <x:tableColumn id="10" name="source_type"/>
    <x:tableColumn id="11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ComparisonsTable" displayName="SuppComparisonsTable" ref="A1:L22" headerRowCount="1" totalsRowCount="0" totalsRowShown="0">
  <x:tableColumns count="12">
    <x:tableColumn id="1" name="comparison_id"/>
    <x:tableColumn id="2" name="poll_id"/>
    <x:tableColumn id="3" name="election_id"/>
    <x:tableColumn id="4" name="comparison_variant"/>
    <x:tableColumn id="5" name="aggregation_rule"/>
    <x:tableColumn id="6" name="source_reported_sse"/>
    <x:tableColumn id="7" name="computed_sse"/>
    <x:tableColumn id="8" name="mae"/>
    <x:tableColumn id="9" name="rmse"/>
    <x:tableColumn id="10" name="party_count"/>
    <x:tableColumn id="11" name="source_url"/>
    <x:tableColumn id="12" name="source_typ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PollPartyTable" displayName="SuppPollPartyTable" ref="A1:I151" headerRowCount="1" totalsRowCount="0" totalsRowShown="0">
  <x:tableColumns count="9">
    <x:tableColumn id="1" name="comparison_id"/>
    <x:tableColumn id="2" name="poll_id"/>
    <x:tableColumn id="3" name="election_id"/>
    <x:tableColumn id="4" name="party_or_category"/>
    <x:tableColumn id="5" name="poll_share"/>
    <x:tableColumn id="6" name="actual_share"/>
    <x:tableColumn id="7" name="signed_error"/>
    <x:tableColumn id="8" name="absolute_error"/>
    <x:tableColumn id="9" name="squared_err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ppDataQualityTable" displayName="SuppDataQualityTable" ref="A1:C5" headerRowCount="1" totalsRowCount="0" totalsRowShown="0">
  <x:tableColumns count="3">
    <x:tableColumn id="1" name="election_id"/>
    <x:tableColumn id="2" name="status"/>
    <x:tableColumn id="3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af265ca51841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a6329c727c48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412881ea4045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86262bce204c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53bac038d04c1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5" hidden="0" customWidth="1"/>
  </x:cols>
  <x:sheetData>
    <x:row r="1">
      <x:c r="A1" s="8" t="str">
        <x:v>Supplementary election polling dataset – Germany gaps</x:v>
      </x:c>
      <x:c r="B1" t="str"/>
    </x:row>
    <x:row r="2">
      <x:c r="A2" s="12" t="str">
        <x:v>Purpose</x:v>
      </x:c>
      <x:c r="B2" s="16" t="str">
        <x:v>Merge-ready supplement to the first Marktforschung.de workbook. Adds NRW 2022, Bremen 2023, Mecklenburg-Vorpommern 2021 and Berlin 2021.</x:v>
      </x:c>
    </x:row>
    <x:row r="3">
      <x:c r="A3" s="12" t="str">
        <x:v>Schema compatibility</x:v>
      </x:c>
      <x:c r="B3" s="16" t="str">
        <x:v>Sheet structure mirrors Batch 1: Elections, Polls, Comparisons, Poll_Party, Data_Quality.</x:v>
      </x:c>
    </x:row>
    <x:row r="4">
      <x:c r="A4" s="12" t="str">
        <x:v>Primary metric</x:v>
      </x:c>
      <x:c r="B4" s="16" t="str">
        <x:v>MAE is formula-driven and recommended for cross-election comparison. SSE/RMSE are also computed.</x:v>
      </x:c>
    </x:row>
    <x:row r="5">
      <x:c r="A5" s="12" t="str">
        <x:v>Source hierarchy</x:v>
      </x:c>
      <x:c r="B5" s="16" t="str">
        <x:v>NRW and Bremen use the Marktforschung.de analysis plus Wahlrecht/DAWUM for table metadata. Mecklenburg-Vorpommern 2021 and Berlin 2021 use Wahlrecht.de as replacement source because no matching Marktforschung.de post-election article was found.</x:v>
      </x:c>
    </x:row>
    <x:row r="6">
      <x:c r="A6" s="12" t="str">
        <x:v>Selection rule</x:v>
      </x:c>
      <x:c r="B6" s="16" t="str">
        <x:v>For replacement-source elections, use the final pre-election poll of each institute available in Wahlrecht.de immediately before election day.</x:v>
      </x:c>
    </x:row>
    <x:row r="7">
      <x:c r="A7" s="12" t="str">
        <x:v>Berlin 2021 caveat</x:v>
      </x:c>
      <x:c r="B7" s="16" t="str">
        <x:v>Minor parties are aggregated into one common category (Sonstige inkl. TSP/FW) to make pollsters comparable.</x:v>
      </x:c>
    </x:row>
    <x:row r="8">
      <x:c r="A8" s="12" t="str">
        <x:v>MV 2021 caveat</x:v>
      </x:c>
      <x:c r="B8" s="16" t="str">
        <x:v>NPD is retained as a separate category because Wahlrecht reports 0.8% in the result. Polls that did not report NPD explicitly are coded 0 in that category.</x:v>
      </x:c>
    </x:row>
    <x:row r="9">
      <x:c r="A9" s="12" t="str">
        <x:v>Merge hint</x:v>
      </x:c>
      <x:c r="B9" s="16" t="str">
        <x:v>Append rows sheet-by-sheet to the corresponding Batch 1 sheets; IDs use SUPP_ prefixes to avoid collisions.</x:v>
      </x:c>
    </x:row>
    <x:row r="11">
      <x:c r="A11" t="str">
        <x:v>DAWUM additions</x:v>
      </x:c>
      <x:c r="B11" t="str">
        <x:v>Added Civey and Institut Wahlkreisprognose where DAWUM documents a final pre-election poll missing from the Wahlrecht-based reconstruction. Bremen has Wahlkreisprognose but no matching Civey pre-election poll found.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0" hidden="0" customWidth="1"/>
    <x:col min="4" max="4" width="24" hidden="0" customWidth="1"/>
    <x:col min="5" max="5" width="18" hidden="0" customWidth="1"/>
    <x:col min="6" max="6" width="42" hidden="0" customWidth="1"/>
    <x:col min="7" max="7" width="14" hidden="0" customWidth="1"/>
    <x:col min="8" max="8" width="14" hidden="0" customWidth="1"/>
    <x:col min="9" max="9" width="24" hidden="0" customWidth="1"/>
    <x:col min="10" max="10" width="62" hidden="0" customWidth="1"/>
    <x:col min="11" max="11" width="30" hidden="0" customWidth="1"/>
  </x:cols>
  <x:sheetData>
    <x:row r="1">
      <x:c r="A1" s="4" t="str">
        <x:v>election_id</x:v>
      </x:c>
      <x:c r="B1" s="4" t="str">
        <x:v>country</x:v>
      </x:c>
      <x:c r="C1" s="4" t="str">
        <x:v>country_code</x:v>
      </x:c>
      <x:c r="D1" s="4" t="str">
        <x:v>region</x:v>
      </x:c>
      <x:c r="E1" s="4" t="str">
        <x:v>election_level</x:v>
      </x:c>
      <x:c r="F1" s="4" t="str">
        <x:v>election_name</x:v>
      </x:c>
      <x:c r="G1" s="4" t="str">
        <x:v>election_date</x:v>
      </x:c>
      <x:c r="H1" s="4" t="str">
        <x:v>article_date</x:v>
      </x:c>
      <x:c r="I1" s="4" t="str">
        <x:v>result_status</x:v>
      </x:c>
      <x:c r="J1" s="4" t="str">
        <x:v>source_url</x:v>
      </x:c>
      <x:c r="K1" s="4" t="str">
        <x:v>source_type</x:v>
      </x:c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DE_NW_2022</x:v>
      </x:c>
      <x:c r="B2" t="str">
        <x:v>Germany</x:v>
      </x:c>
      <x:c r="C2" t="str">
        <x:v>DE</x:v>
      </x:c>
      <x:c r="D2" t="str">
        <x:v>Nordrhein-Westfalen</x:v>
      </x:c>
      <x:c r="E2" t="str">
        <x:v>State</x:v>
      </x:c>
      <x:c r="F2" t="str">
        <x:v>Landtagswahl Nordrhein-Westfalen 2022</x:v>
      </x:c>
      <x:c r="G2" s="18" t="n">
        <x:v>44696</x:v>
      </x:c>
      <x:c r="H2" s="18" t="n">
        <x:v>44698</x:v>
      </x:c>
      <x:c r="I2" t="str">
        <x:v>final/provisional comparison</x:v>
      </x:c>
      <x:c r="J2" t="str">
        <x:v>https://www.marktforschung.de/marktforschung/a/die-vorwahlumfragen-in-nrw-ein-knappes-ergebnis-sieht-anders-aus/</x:v>
      </x:c>
      <x:c r="K2" t="str">
        <x:v>marktforschung.de + Wahlrecht/DAWUM</x:v>
      </x:c>
    </x:row>
    <x:row r="3">
      <x:c r="A3" t="str">
        <x:v>DE_HB_2023</x:v>
      </x:c>
      <x:c r="B3" t="str">
        <x:v>Germany</x:v>
      </x:c>
      <x:c r="C3" t="str">
        <x:v>DE</x:v>
      </x:c>
      <x:c r="D3" t="str">
        <x:v>Bremen</x:v>
      </x:c>
      <x:c r="E3" t="str">
        <x:v>State</x:v>
      </x:c>
      <x:c r="F3" t="str">
        <x:v>Bürgerschaftswahl Bremen 2023</x:v>
      </x:c>
      <x:c r="G3" s="18" t="n">
        <x:v>45060</x:v>
      </x:c>
      <x:c r="H3" s="18" t="n">
        <x:v>45072</x:v>
      </x:c>
      <x:c r="I3" t="str">
        <x:v>provisional official result</x:v>
      </x:c>
      <x:c r="J3" t="str">
        <x:v>https://www.marktforschung.de/marktforschung/a/was-lang-waehrt-ist-endlich-ausgezaehlt-die-bremer-buergerschaftswahl/</x:v>
      </x:c>
      <x:c r="K3" t="str">
        <x:v>marktforschung.de + Wahlrecht/DAWUM</x:v>
      </x:c>
    </x:row>
    <x:row r="4">
      <x:c r="A4" t="str">
        <x:v>DE_MV_2021</x:v>
      </x:c>
      <x:c r="B4" t="str">
        <x:v>Germany</x:v>
      </x:c>
      <x:c r="C4" t="str">
        <x:v>DE</x:v>
      </x:c>
      <x:c r="D4" t="str">
        <x:v>Mecklenburg-Vorpommern</x:v>
      </x:c>
      <x:c r="E4" t="str">
        <x:v>State</x:v>
      </x:c>
      <x:c r="F4" t="str">
        <x:v>Landtagswahl Mecklenburg-Vorpommern 2021</x:v>
      </x:c>
      <x:c r="G4" s="18" t="n">
        <x:v>44465</x:v>
      </x:c>
      <x:c r="H4" s="18"/>
      <x:c r="I4" t="str">
        <x:v>official result</x:v>
      </x:c>
      <x:c r="J4" t="str">
        <x:v>https://www.wahlrecht.de/umfragen/landtage/mecklenburg-vorpommern.htm</x:v>
      </x:c>
      <x:c r="K4" t="str">
        <x:v>replacement source: Wahlrecht.de</x:v>
      </x:c>
    </x:row>
    <x:row r="5">
      <x:c r="A5" t="str">
        <x:v>DE_BE_2021</x:v>
      </x:c>
      <x:c r="B5" t="str">
        <x:v>Germany</x:v>
      </x:c>
      <x:c r="C5" t="str">
        <x:v>DE</x:v>
      </x:c>
      <x:c r="D5" t="str">
        <x:v>Berlin</x:v>
      </x:c>
      <x:c r="E5" t="str">
        <x:v>State</x:v>
      </x:c>
      <x:c r="F5" t="str">
        <x:v>Abgeordnetenhauswahl Berlin 2021</x:v>
      </x:c>
      <x:c r="G5" s="18" t="n">
        <x:v>44465</x:v>
      </x:c>
      <x:c r="H5" s="18"/>
      <x:c r="I5" t="str">
        <x:v>official result later repeated in 2023</x:v>
      </x:c>
      <x:c r="J5" t="str">
        <x:v>https://www.wahlrecht.de/umfragen/landtage/berlin.htm</x:v>
      </x:c>
      <x:c r="K5" t="str">
        <x:v>replacement source: Wahlrecht.de</x:v>
      </x:c>
    </x:row>
    <x:row r="6">
      <x:c r="G6" s="18"/>
      <x:c r="H6" s="18"/>
    </x:row>
    <x:row r="7">
      <x:c r="G7" s="18"/>
      <x:c r="H7" s="18"/>
    </x:row>
    <x:row r="8">
      <x:c r="G8" s="18"/>
      <x:c r="H8" s="18"/>
    </x:row>
    <x:row r="9">
      <x:c r="G9" s="18"/>
      <x:c r="H9" s="18"/>
    </x:row>
    <x:row r="10">
      <x:c r="G10" s="18"/>
      <x:c r="H10" s="18"/>
    </x:row>
    <x:row r="11">
      <x:c r="G11" s="18"/>
      <x:c r="H11" s="18"/>
    </x:row>
    <x:row r="12">
      <x:c r="G12" s="18"/>
      <x:c r="H12" s="18"/>
    </x:row>
    <x:row r="13">
      <x:c r="G13" s="18"/>
      <x:c r="H13" s="18"/>
    </x:row>
    <x:row r="14">
      <x:c r="G14" s="18"/>
      <x:c r="H14" s="18"/>
    </x:row>
    <x:row r="15">
      <x:c r="G15" s="18"/>
      <x:c r="H15" s="18"/>
    </x:row>
    <x:row r="16">
      <x:c r="G16" s="18"/>
      <x:c r="H16" s="18"/>
    </x:row>
    <x:row r="17">
      <x:c r="G17" s="18"/>
      <x:c r="H17" s="18"/>
    </x:row>
    <x:row r="18">
      <x:c r="G18" s="18"/>
      <x:c r="H18" s="18"/>
    </x:row>
    <x:row r="19">
      <x:c r="G19" s="18"/>
      <x:c r="H19" s="18"/>
    </x:row>
    <x:row r="20">
      <x:c r="G20" s="18"/>
      <x:c r="H20" s="18"/>
    </x:row>
    <x:row r="21">
      <x:c r="G21" s="18"/>
      <x:c r="H21" s="18"/>
    </x:row>
    <x:row r="22">
      <x:c r="G22" s="18"/>
      <x:c r="H22" s="18"/>
    </x:row>
    <x:row r="23">
      <x:c r="G23" s="18"/>
      <x:c r="H23" s="18"/>
    </x:row>
    <x:row r="24">
      <x:c r="G24" s="18"/>
      <x:c r="H24" s="18"/>
    </x:row>
    <x:row r="25">
      <x:c r="G25" s="18"/>
      <x:c r="H25" s="18"/>
    </x:row>
    <x:row r="26">
      <x:c r="G26" s="18"/>
      <x:c r="H26" s="18"/>
    </x:row>
    <x:row r="27">
      <x:c r="G27" s="18"/>
      <x:c r="H27" s="18"/>
    </x:row>
    <x:row r="28">
      <x:c r="G28" s="18"/>
      <x:c r="H28" s="18"/>
    </x:row>
    <x:row r="29">
      <x:c r="G29" s="18"/>
      <x:c r="H29" s="18"/>
    </x:row>
    <x:row r="30">
      <x:c r="G30" s="18"/>
      <x:c r="H30" s="18"/>
    </x:row>
    <x:row r="31">
      <x:c r="G31" s="18"/>
      <x:c r="H31" s="18"/>
    </x:row>
    <x:row r="32">
      <x:c r="G32" s="18"/>
      <x:c r="H32" s="18"/>
    </x:row>
    <x:row r="33">
      <x:c r="G33" s="18"/>
      <x:c r="H33" s="18"/>
    </x:row>
    <x:row r="34">
      <x:c r="G34" s="18"/>
      <x:c r="H34" s="18"/>
    </x:row>
    <x:row r="35">
      <x:c r="G35" s="18"/>
      <x:c r="H35" s="18"/>
    </x:row>
    <x:row r="36">
      <x:c r="G36" s="18"/>
      <x:c r="H36" s="18"/>
    </x:row>
    <x:row r="37">
      <x:c r="G37" s="18"/>
      <x:c r="H37" s="18"/>
    </x:row>
    <x:row r="38">
      <x:c r="G38" s="18"/>
      <x:c r="H38" s="18"/>
    </x:row>
    <x:row r="39">
      <x:c r="G39" s="18"/>
      <x:c r="H39" s="18"/>
    </x:row>
    <x:row r="40">
      <x:c r="G40" s="18"/>
      <x:c r="H40" s="18"/>
    </x:row>
    <x:row r="41">
      <x:c r="G41" s="18"/>
      <x:c r="H41" s="18"/>
    </x:row>
    <x:row r="42">
      <x:c r="G42" s="18"/>
      <x:c r="H42" s="18"/>
    </x:row>
    <x:row r="43">
      <x:c r="G43" s="18"/>
      <x:c r="H43" s="18"/>
    </x:row>
    <x:row r="44">
      <x:c r="G44" s="18"/>
      <x:c r="H44" s="18"/>
    </x:row>
    <x:row r="45">
      <x:c r="G45" s="18"/>
      <x:c r="H45" s="18"/>
    </x:row>
    <x:row r="46">
      <x:c r="G46" s="18"/>
      <x:c r="H46" s="18"/>
    </x:row>
    <x:row r="47">
      <x:c r="G47" s="18"/>
      <x:c r="H47" s="18"/>
    </x:row>
    <x:row r="48">
      <x:c r="G48" s="18"/>
      <x:c r="H48" s="18"/>
    </x:row>
    <x:row r="49">
      <x:c r="G49" s="18"/>
      <x:c r="H49" s="18"/>
    </x:row>
    <x:row r="50">
      <x:c r="G50" s="18"/>
      <x:c r="H50" s="18"/>
    </x:row>
  </x:sheetData>
  <x:pageMargins left="0.7" right="0.7" top="0.75" bottom="0.75" header="0.3" footer="0.3"/>
  <x:tableParts count="1">
    <x:tablePart xmlns:r="http://schemas.openxmlformats.org/officeDocument/2006/relationships" r:id="R70af265ca51841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25" hidden="0" customWidth="1"/>
    <x:col min="5" max="5" width="18" hidden="0" customWidth="1"/>
    <x:col min="6" max="6" width="14" hidden="0" customWidth="1"/>
    <x:col min="7" max="7" width="14" hidden="0" customWidth="1"/>
    <x:col min="8" max="8" width="12" hidden="0" customWidth="1"/>
    <x:col min="9" max="9" width="62" hidden="0" customWidth="1"/>
    <x:col min="10" max="10" width="28" hidden="0" customWidth="1"/>
    <x:col min="11" max="11" width="52" hidden="0" customWidth="1"/>
  </x:cols>
  <x:sheetData>
    <x:row r="1">
      <x:c r="A1" s="4" t="str">
        <x:v>poll_id</x:v>
      </x:c>
      <x:c r="B1" s="4" t="str">
        <x:v>election_id</x:v>
      </x:c>
      <x:c r="C1" s="4" t="str">
        <x:v>pollster</x:v>
      </x:c>
      <x:c r="D1" s="4" t="str">
        <x:v>commissioner</x:v>
      </x:c>
      <x:c r="E1" s="4" t="str">
        <x:v>method</x:v>
      </x:c>
      <x:c r="F1" s="4" t="str">
        <x:v>fieldwork_start</x:v>
      </x:c>
      <x:c r="G1" s="4" t="str">
        <x:v>fieldwork_end</x:v>
      </x:c>
      <x:c r="H1" s="4" t="str">
        <x:v>sample_size</x:v>
      </x:c>
      <x:c r="I1" s="4" t="str">
        <x:v>source_url</x:v>
      </x:c>
      <x:c r="J1" s="4" t="str">
        <x:v>source_type</x:v>
      </x:c>
      <x:c r="K1" s="4" t="str">
        <x:v>note</x:v>
      </x:c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SUPP_P001</x:v>
      </x:c>
      <x:c r="B2" t="str">
        <x:v>DE_NW_2022</x:v>
      </x:c>
      <x:c r="C2" t="str">
        <x:v>Forsa</x:v>
      </x:c>
      <x:c r="D2" t="str">
        <x:v>NRW-Tageszeitungen</x:v>
      </x:c>
      <x:c r="E2" t="str">
        <x:v>Online</x:v>
      </x:c>
      <x:c r="F2" s="18" t="n">
        <x:v>44670</x:v>
      </x:c>
      <x:c r="G2" s="18" t="n">
        <x:v>44677</x:v>
      </x:c>
      <x:c r="H2" t="n">
        <x:v>2006</x:v>
      </x:c>
      <x:c r="I2" t="str">
        <x:v>https://www.wahlrecht.de/umfragen/landtage/nrw.htm</x:v>
      </x:c>
      <x:c r="J2" t="str">
        <x:v>Wahlrecht/DAWUM</x:v>
      </x:c>
      <x:c r="K2" t="str">
        <x:v>Marktforschung.de identifies Forsa as best-performing poll; fieldwork ended nearly three weeks before election.</x:v>
      </x:c>
    </x:row>
    <x:row r="3">
      <x:c r="A3" t="str">
        <x:v>SUPP_P002</x:v>
      </x:c>
      <x:c r="B3" t="str">
        <x:v>DE_NW_2022</x:v>
      </x:c>
      <x:c r="C3" t="str">
        <x:v>Forschungsgruppe Wahlen</x:v>
      </x:c>
      <x:c r="D3" t="str">
        <x:v>ZDF</x:v>
      </x:c>
      <x:c r="E3" t="str">
        <x:v>Telefon</x:v>
      </x:c>
      <x:c r="F3" s="18" t="n">
        <x:v>44690</x:v>
      </x:c>
      <x:c r="G3" s="18" t="n">
        <x:v>44693</x:v>
      </x:c>
      <x:c r="H3" t="n">
        <x:v>2254</x:v>
      </x:c>
      <x:c r="I3" t="str">
        <x:v>https://www.marktforschung.de/marktforschung/a/die-vorwahlumfragen-in-nrw-ein-knappes-ergebnis-sieht-anders-aus/</x:v>
      </x:c>
      <x:c r="J3" t="str">
        <x:v>marktforschung.de + Wahlrecht</x:v>
      </x:c>
      <x:c r="K3" t="str"/>
    </x:row>
    <x:row r="4">
      <x:c r="A4" t="str">
        <x:v>SUPP_P003</x:v>
      </x:c>
      <x:c r="B4" t="str">
        <x:v>DE_NW_2022</x:v>
      </x:c>
      <x:c r="C4" t="str">
        <x:v>Civey</x:v>
      </x:c>
      <x:c r="D4" t="str">
        <x:v>Spiegel Online</x:v>
      </x:c>
      <x:c r="E4" t="str">
        <x:v>Online</x:v>
      </x:c>
      <x:c r="F4" s="18" t="n">
        <x:v>44686</x:v>
      </x:c>
      <x:c r="G4" s="18" t="n">
        <x:v>44693</x:v>
      </x:c>
      <x:c r="H4" t="n">
        <x:v>4001</x:v>
      </x:c>
      <x:c r="I4" t="str">
        <x:v>https://dawum.de/Nordrhein-Westfalen/Civey/2022-05-12/</x:v>
      </x:c>
      <x:c r="J4" t="str">
        <x:v>DAWUM / Spiegel</x:v>
      </x:c>
      <x:c r="K4" t="str"/>
    </x:row>
    <x:row r="5">
      <x:c r="A5" t="str">
        <x:v>SUPP_P004</x:v>
      </x:c>
      <x:c r="B5" t="str">
        <x:v>DE_NW_2022</x:v>
      </x:c>
      <x:c r="C5" t="str">
        <x:v>INSA</x:v>
      </x:c>
      <x:c r="D5" t="str">
        <x:v>BILD</x:v>
      </x:c>
      <x:c r="E5" t="str">
        <x:v>Online</x:v>
      </x:c>
      <x:c r="F5" s="18" t="n">
        <x:v>44690</x:v>
      </x:c>
      <x:c r="G5" s="18" t="n">
        <x:v>44691</x:v>
      </x:c>
      <x:c r="H5" t="n">
        <x:v>1000</x:v>
      </x:c>
      <x:c r="I5" t="str">
        <x:v>https://www.marktforschung.de/marktforschung/a/die-vorwahlumfragen-in-nrw-ein-knappes-ergebnis-sieht-anders-aus/</x:v>
      </x:c>
      <x:c r="J5" t="str">
        <x:v>marktforschung.de + Wahlrecht</x:v>
      </x:c>
      <x:c r="K5" t="str"/>
    </x:row>
    <x:row r="6">
      <x:c r="A6" t="str">
        <x:v>SUPP_P005</x:v>
      </x:c>
      <x:c r="B6" t="str">
        <x:v>DE_NW_2022</x:v>
      </x:c>
      <x:c r="C6" t="str">
        <x:v>Infratest dimap</x:v>
      </x:c>
      <x:c r="D6" t="str">
        <x:v>ARD</x:v>
      </x:c>
      <x:c r="E6" t="str">
        <x:v>Telefon + Online</x:v>
      </x:c>
      <x:c r="F6" s="18" t="n">
        <x:v>44683</x:v>
      </x:c>
      <x:c r="G6" s="18" t="n">
        <x:v>44685</x:v>
      </x:c>
      <x:c r="H6" t="n">
        <x:v>1537</x:v>
      </x:c>
      <x:c r="I6" t="str">
        <x:v>https://www.wahlrecht.de/umfragen/landtage/nrw.htm</x:v>
      </x:c>
      <x:c r="J6" t="str">
        <x:v>Wahlrecht.de</x:v>
      </x:c>
      <x:c r="K6" t="str"/>
    </x:row>
    <x:row r="7">
      <x:c r="A7" t="str">
        <x:v>SUPP_P006</x:v>
      </x:c>
      <x:c r="B7" t="str">
        <x:v>DE_NW_2022</x:v>
      </x:c>
      <x:c r="C7" t="str">
        <x:v>YouGov</x:v>
      </x:c>
      <x:c r="D7" t="str">
        <x:v>YouGov</x:v>
      </x:c>
      <x:c r="E7" t="str">
        <x:v>Online</x:v>
      </x:c>
      <x:c r="F7" s="18" t="n">
        <x:v>44687</x:v>
      </x:c>
      <x:c r="G7" s="18" t="n">
        <x:v>44693</x:v>
      </x:c>
      <x:c r="H7" t="n">
        <x:v>1046</x:v>
      </x:c>
      <x:c r="I7" t="str">
        <x:v>https://www.wahlrecht.de/umfragen/landtage/nrw.htm</x:v>
      </x:c>
      <x:c r="J7" t="str">
        <x:v>Wahlrecht.de</x:v>
      </x:c>
      <x:c r="K7" t="str">
        <x:v>Marktforschung.de notes this was published directly before election and performed worst among the compared polls.</x:v>
      </x:c>
    </x:row>
    <x:row r="8">
      <x:c r="A8" t="str">
        <x:v>SUPP_P007</x:v>
      </x:c>
      <x:c r="B8" t="str">
        <x:v>DE_HB_2023</x:v>
      </x:c>
      <x:c r="C8" t="str">
        <x:v>Forschungsgruppe Wahlen</x:v>
      </x:c>
      <x:c r="D8" t="str">
        <x:v>ZDF</x:v>
      </x:c>
      <x:c r="E8" t="str">
        <x:v>Telefon</x:v>
      </x:c>
      <x:c r="F8" s="18" t="n">
        <x:v>45056</x:v>
      </x:c>
      <x:c r="G8" s="18" t="n">
        <x:v>45057</x:v>
      </x:c>
      <x:c r="H8" t="n">
        <x:v>1088</x:v>
      </x:c>
      <x:c r="I8" t="str">
        <x:v>https://www.marktforschung.de/marktforschung/a/was-lang-waehrt-ist-endlich-ausgezaehlt-die-bremer-buergerschaftswahl/</x:v>
      </x:c>
      <x:c r="J8" t="str">
        <x:v>marktforschung.de + DAWUM</x:v>
      </x:c>
      <x:c r="K8" t="str"/>
    </x:row>
    <x:row r="9">
      <x:c r="A9" t="str">
        <x:v>SUPP_P008</x:v>
      </x:c>
      <x:c r="B9" t="str">
        <x:v>DE_HB_2023</x:v>
      </x:c>
      <x:c r="C9" t="str">
        <x:v>Infratest dimap</x:v>
      </x:c>
      <x:c r="D9" t="str">
        <x:v>ARD</x:v>
      </x:c>
      <x:c r="E9" t="str">
        <x:v>Telefon + Online</x:v>
      </x:c>
      <x:c r="F9" s="18" t="n">
        <x:v>45047</x:v>
      </x:c>
      <x:c r="G9" s="18" t="n">
        <x:v>45049</x:v>
      </x:c>
      <x:c r="H9" t="n">
        <x:v>1450</x:v>
      </x:c>
      <x:c r="I9" t="str">
        <x:v>https://www.marktforschung.de/marktforschung/a/was-lang-waehrt-ist-endlich-ausgezaehlt-die-bremer-buergerschaftswahl/</x:v>
      </x:c>
      <x:c r="J9" t="str">
        <x:v>marktforschung.de + Wahlrecht</x:v>
      </x:c>
      <x:c r="K9" t="str"/>
    </x:row>
    <x:row r="10">
      <x:c r="A10" t="str">
        <x:v>SUPP_P009</x:v>
      </x:c>
      <x:c r="B10" t="str">
        <x:v>DE_HB_2023</x:v>
      </x:c>
      <x:c r="C10" t="str">
        <x:v>INSA</x:v>
      </x:c>
      <x:c r="D10" t="str">
        <x:v>BILD</x:v>
      </x:c>
      <x:c r="E10" t="str">
        <x:v>Telefon + Online</x:v>
      </x:c>
      <x:c r="F10" s="18" t="n">
        <x:v>45048</x:v>
      </x:c>
      <x:c r="G10" s="18" t="n">
        <x:v>45054</x:v>
      </x:c>
      <x:c r="H10" t="n">
        <x:v>1000</x:v>
      </x:c>
      <x:c r="I10" t="str">
        <x:v>https://www.marktforschung.de/marktforschung/a/was-lang-waehrt-ist-endlich-ausgezaehlt-die-bremer-buergerschaftswahl/</x:v>
      </x:c>
      <x:c r="J10" t="str">
        <x:v>marktforschung.de + DAWUM</x:v>
      </x:c>
      <x:c r="K10" t="str">
        <x:v>Article reports source SSE as just under 10; exact printed figure not available in parsed article text.</x:v>
      </x:c>
    </x:row>
    <x:row r="11">
      <x:c r="A11" t="str">
        <x:v>SUPP_P010</x:v>
      </x:c>
      <x:c r="B11" t="str">
        <x:v>DE_MV_2021</x:v>
      </x:c>
      <x:c r="C11" t="str">
        <x:v>INSA</x:v>
      </x:c>
      <x:c r="D11" t="str">
        <x:v>Cicero</x:v>
      </x:c>
      <x:c r="E11" t="str">
        <x:v>Telefon + Online</x:v>
      </x:c>
      <x:c r="F11" s="18" t="n">
        <x:v>44459</x:v>
      </x:c>
      <x:c r="G11" s="18" t="n">
        <x:v>44463</x:v>
      </x:c>
      <x:c r="H11" t="n">
        <x:v>1058</x:v>
      </x:c>
      <x:c r="I11" t="str">
        <x:v>https://www.wahlrecht.de/umfragen/landtage/mecklenburg-vorpommern.htm</x:v>
      </x:c>
      <x:c r="J11" t="str">
        <x:v>replacement source: Wahlrecht.de</x:v>
      </x:c>
      <x:c r="K11" t="str">
        <x:v>Final pre-election poll per institute available in Wahlrecht chronology.</x:v>
      </x:c>
    </x:row>
    <x:row r="12">
      <x:c r="A12" t="str">
        <x:v>SUPP_P011</x:v>
      </x:c>
      <x:c r="B12" t="str">
        <x:v>DE_MV_2021</x:v>
      </x:c>
      <x:c r="C12" t="str">
        <x:v>Forschungsgruppe Wahlen</x:v>
      </x:c>
      <x:c r="D12" t="str">
        <x:v>ZDF</x:v>
      </x:c>
      <x:c r="E12" t="str">
        <x:v>Telefon</x:v>
      </x:c>
      <x:c r="F12" s="18" t="n">
        <x:v>44459</x:v>
      </x:c>
      <x:c r="G12" s="18" t="n">
        <x:v>44461</x:v>
      </x:c>
      <x:c r="H12" t="n">
        <x:v>1015</x:v>
      </x:c>
      <x:c r="I12" t="str">
        <x:v>https://www.wahlrecht.de/umfragen/landtage/mecklenburg-vorpommern.htm</x:v>
      </x:c>
      <x:c r="J12" t="str">
        <x:v>replacement source: Wahlrecht.de</x:v>
      </x:c>
      <x:c r="K12" t="str"/>
    </x:row>
    <x:row r="13">
      <x:c r="A13" t="str">
        <x:v>SUPP_P012</x:v>
      </x:c>
      <x:c r="B13" t="str">
        <x:v>DE_MV_2021</x:v>
      </x:c>
      <x:c r="C13" t="str">
        <x:v>Infratest dimap</x:v>
      </x:c>
      <x:c r="D13" t="str">
        <x:v>ARD</x:v>
      </x:c>
      <x:c r="E13" t="str">
        <x:v>Telefon + Online</x:v>
      </x:c>
      <x:c r="F13" s="18" t="n">
        <x:v>44452</x:v>
      </x:c>
      <x:c r="G13" s="18" t="n">
        <x:v>44454</x:v>
      </x:c>
      <x:c r="H13" t="n">
        <x:v>1533</x:v>
      </x:c>
      <x:c r="I13" t="str">
        <x:v>https://www.wahlrecht.de/umfragen/landtage/mecklenburg-vorpommern.htm</x:v>
      </x:c>
      <x:c r="J13" t="str">
        <x:v>replacement source: Wahlrecht.de</x:v>
      </x:c>
      <x:c r="K13" t="str"/>
    </x:row>
    <x:row r="14">
      <x:c r="A14" t="str">
        <x:v>SUPP_P013</x:v>
      </x:c>
      <x:c r="B14" t="str">
        <x:v>DE_BE_2021</x:v>
      </x:c>
      <x:c r="C14" t="str">
        <x:v>INSA</x:v>
      </x:c>
      <x:c r="D14" t="str">
        <x:v>Cicero</x:v>
      </x:c>
      <x:c r="E14" t="str">
        <x:v>Online</x:v>
      </x:c>
      <x:c r="F14" s="18" t="n">
        <x:v>44461</x:v>
      </x:c>
      <x:c r="G14" s="18" t="n">
        <x:v>44463</x:v>
      </x:c>
      <x:c r="H14" t="n">
        <x:v>1000</x:v>
      </x:c>
      <x:c r="I14" t="str">
        <x:v>https://www.wahlrecht.de/umfragen/landtage/berlin.htm</x:v>
      </x:c>
      <x:c r="J14" t="str">
        <x:v>replacement source: Wahlrecht.de</x:v>
      </x:c>
      <x:c r="K14" t="str">
        <x:v>FW 3%, TSP 3% and other parties 6% aggregated into one comparable minor-party category.</x:v>
      </x:c>
    </x:row>
    <x:row r="15">
      <x:c r="A15" t="str">
        <x:v>SUPP_P014</x:v>
      </x:c>
      <x:c r="B15" t="str">
        <x:v>DE_BE_2021</x:v>
      </x:c>
      <x:c r="C15" t="str">
        <x:v>Forschungsgruppe Wahlen</x:v>
      </x:c>
      <x:c r="D15" t="str">
        <x:v>ZDF</x:v>
      </x:c>
      <x:c r="E15" t="str">
        <x:v>Telefon</x:v>
      </x:c>
      <x:c r="F15" s="18" t="n">
        <x:v>44459</x:v>
      </x:c>
      <x:c r="G15" s="18" t="n">
        <x:v>44461</x:v>
      </x:c>
      <x:c r="H15" t="n">
        <x:v>1103</x:v>
      </x:c>
      <x:c r="I15" t="str">
        <x:v>https://www.wahlrecht.de/umfragen/landtage/berlin.htm</x:v>
      </x:c>
      <x:c r="J15" t="str">
        <x:v>replacement source: Wahlrecht.de</x:v>
      </x:c>
      <x:c r="K15" t="str"/>
    </x:row>
    <x:row r="16">
      <x:c r="A16" t="str">
        <x:v>SUPP_P015</x:v>
      </x:c>
      <x:c r="B16" t="str">
        <x:v>DE_BE_2021</x:v>
      </x:c>
      <x:c r="C16" t="str">
        <x:v>Infratest dimap</x:v>
      </x:c>
      <x:c r="D16" t="str">
        <x:v>ARD</x:v>
      </x:c>
      <x:c r="E16" t="str">
        <x:v>Telefon + Online</x:v>
      </x:c>
      <x:c r="F16" s="18" t="n">
        <x:v>44452</x:v>
      </x:c>
      <x:c r="G16" s="18" t="n">
        <x:v>44454</x:v>
      </x:c>
      <x:c r="H16" t="n">
        <x:v>1510</x:v>
      </x:c>
      <x:c r="I16" t="str">
        <x:v>https://www.wahlrecht.de/umfragen/landtage/berlin.htm</x:v>
      </x:c>
      <x:c r="J16" t="str">
        <x:v>replacement source: Wahlrecht.de</x:v>
      </x:c>
      <x:c r="K16" t="str">
        <x:v>TSP 3% and remaining others 9% aggregated into one comparable minor-party category.</x:v>
      </x:c>
    </x:row>
    <x:row r="17">
      <x:c r="A17" t="str">
        <x:v>SUPP_P016</x:v>
      </x:c>
      <x:c r="B17" t="str">
        <x:v>DE_NW_2022</x:v>
      </x:c>
      <x:c r="C17" t="str">
        <x:v>Institut Wahlkreisprognose</x:v>
      </x:c>
      <x:c r="D17" t="str">
        <x:v>in eigenem Auftrag</x:v>
      </x:c>
      <x:c r="E17" t="str">
        <x:v>Online</x:v>
      </x:c>
      <x:c r="F17" s="18" t="n">
        <x:v>44686</x:v>
      </x:c>
      <x:c r="G17" s="18" t="n">
        <x:v>44687</x:v>
      </x:c>
      <x:c r="H17" t="n">
        <x:v>2127</x:v>
      </x:c>
      <x:c r="I17" t="str">
        <x:v>https://dawum.de/Nordrhein-Westfalen/Wahlkreisprognose_de/2022-05-06/</x:v>
      </x:c>
      <x:c r="J17" t="str">
        <x:v>DAWUM</x:v>
      </x:c>
      <x:c r="K17" t="str">
        <x:v>Additional final pre-election poll from DAWUM.</x:v>
      </x:c>
    </x:row>
    <x:row r="18">
      <x:c r="A18" t="str">
        <x:v>SUPP_P017</x:v>
      </x:c>
      <x:c r="B18" t="str">
        <x:v>DE_HB_2023</x:v>
      </x:c>
      <x:c r="C18" t="str">
        <x:v>Institut Wahlkreisprognose</x:v>
      </x:c>
      <x:c r="D18" t="str">
        <x:v>in eigenem Auftrag</x:v>
      </x:c>
      <x:c r="E18" t="str">
        <x:v>Telefon + Online</x:v>
      </x:c>
      <x:c r="F18" s="18" t="n">
        <x:v>45054</x:v>
      </x:c>
      <x:c r="G18" s="18" t="n">
        <x:v>45059</x:v>
      </x:c>
      <x:c r="H18" t="n">
        <x:v>700</x:v>
      </x:c>
      <x:c r="I18" t="str">
        <x:v>https://dawum.de/Bremen/Wahlkreisprognose_de/2023-05-13/</x:v>
      </x:c>
      <x:c r="J18" t="str">
        <x:v>DAWUM</x:v>
      </x:c>
      <x:c r="K18" t="str">
        <x:v>Additional final pre-election poll from DAWUM.</x:v>
      </x:c>
    </x:row>
    <x:row r="19">
      <x:c r="A19" t="str">
        <x:v>SUPP_P018</x:v>
      </x:c>
      <x:c r="B19" t="str">
        <x:v>DE_MV_2021</x:v>
      </x:c>
      <x:c r="C19" t="str">
        <x:v>Civey</x:v>
      </x:c>
      <x:c r="D19" t="str">
        <x:v>Der Tagesspiegel</x:v>
      </x:c>
      <x:c r="E19" t="str">
        <x:v>Online</x:v>
      </x:c>
      <x:c r="F19" s="18" t="n">
        <x:v>44455</x:v>
      </x:c>
      <x:c r="G19" s="18" t="n">
        <x:v>44462</x:v>
      </x:c>
      <x:c r="H19" t="n">
        <x:v>1001</x:v>
      </x:c>
      <x:c r="I19" t="str">
        <x:v>https://dawum.de/Mecklenburg-Vorpommern/Civey/2021-09-23/</x:v>
      </x:c>
      <x:c r="J19" t="str">
        <x:v>DAWUM</x:v>
      </x:c>
      <x:c r="K19" t="str">
        <x:v>DAWUM final pre-election poll; NPD is included in Others because Civey did not publish it separately.</x:v>
      </x:c>
    </x:row>
    <x:row r="20">
      <x:c r="A20" t="str">
        <x:v>SUPP_P019</x:v>
      </x:c>
      <x:c r="B20" t="str">
        <x:v>DE_MV_2021</x:v>
      </x:c>
      <x:c r="C20" t="str">
        <x:v>Institut Wahlkreisprognose</x:v>
      </x:c>
      <x:c r="D20" t="str">
        <x:v>in eigenem Auftrag</x:v>
      </x:c>
      <x:c r="E20" t="str">
        <x:v>Online</x:v>
      </x:c>
      <x:c r="F20" s="18" t="n">
        <x:v>44457</x:v>
      </x:c>
      <x:c r="G20" s="18" t="n">
        <x:v>44462</x:v>
      </x:c>
      <x:c r="H20" t="n">
        <x:v>1004</x:v>
      </x:c>
      <x:c r="I20" t="str">
        <x:v>https://dawum.de/Mecklenburg-Vorpommern/Wahlkreisprognose_de/2021-09-24/</x:v>
      </x:c>
      <x:c r="J20" t="str">
        <x:v>DAWUM</x:v>
      </x:c>
      <x:c r="K20" t="str">
        <x:v>DAWUM final pre-election poll; NPD is included in Others because it was not published separately.</x:v>
      </x:c>
    </x:row>
    <x:row r="21">
      <x:c r="A21" t="str">
        <x:v>SUPP_P020</x:v>
      </x:c>
      <x:c r="B21" t="str">
        <x:v>DE_BE_2021</x:v>
      </x:c>
      <x:c r="C21" t="str">
        <x:v>Civey</x:v>
      </x:c>
      <x:c r="D21" t="str">
        <x:v>Der Tagesspiegel</x:v>
      </x:c>
      <x:c r="E21" t="str">
        <x:v>Online</x:v>
      </x:c>
      <x:c r="F21" s="18" t="n">
        <x:v>44455</x:v>
      </x:c>
      <x:c r="G21" s="18" t="n">
        <x:v>44462</x:v>
      </x:c>
      <x:c r="H21" t="n">
        <x:v>2005</x:v>
      </x:c>
      <x:c r="I21" t="str">
        <x:v>https://dawum.de/Berlin/Civey/2021-09-24/</x:v>
      </x:c>
      <x:c r="J21" t="str">
        <x:v>DAWUM</x:v>
      </x:c>
      <x:c r="K21" t="str">
        <x:v>DAWUM final pre-election poll; all minor parties kept in one Others category.</x:v>
      </x:c>
    </x:row>
    <x:row r="22">
      <x:c r="A22" t="str">
        <x:v>SUPP_P021</x:v>
      </x:c>
      <x:c r="B22" t="str">
        <x:v>DE_BE_2021</x:v>
      </x:c>
      <x:c r="C22" t="str">
        <x:v>Institut Wahlkreisprognose</x:v>
      </x:c>
      <x:c r="D22" t="str">
        <x:v>in eigenem Auftrag</x:v>
      </x:c>
      <x:c r="E22" t="str">
        <x:v>Online</x:v>
      </x:c>
      <x:c r="F22" s="18" t="n">
        <x:v>44461</x:v>
      </x:c>
      <x:c r="G22" s="18" t="n">
        <x:v>44462</x:v>
      </x:c>
      <x:c r="H22" t="n">
        <x:v>1040</x:v>
      </x:c>
      <x:c r="I22" t="str">
        <x:v>https://dawum.de/Berlin/Wahlkreisprognose_de/2021-09-24/</x:v>
      </x:c>
      <x:c r="J22" t="str">
        <x:v>DAWUM</x:v>
      </x:c>
      <x:c r="K22" t="str">
        <x:v>DAWUM final pre-election poll; all minor parties kept in one Others category.</x:v>
      </x:c>
    </x:row>
    <x:row r="23">
      <x:c r="F23" s="18"/>
      <x:c r="G23" s="18"/>
    </x:row>
    <x:row r="24">
      <x:c r="F24" s="18"/>
      <x:c r="G24" s="18"/>
    </x:row>
    <x:row r="25">
      <x:c r="F25" s="18"/>
      <x:c r="G25" s="18"/>
    </x:row>
    <x:row r="26">
      <x:c r="F26" s="18"/>
      <x:c r="G26" s="18"/>
    </x:row>
    <x:row r="27">
      <x:c r="F27" s="18"/>
      <x:c r="G27" s="18"/>
    </x:row>
    <x:row r="28">
      <x:c r="F28" s="18"/>
      <x:c r="G28" s="18"/>
    </x:row>
    <x:row r="29">
      <x:c r="F29" s="18"/>
      <x:c r="G29" s="18"/>
    </x:row>
    <x:row r="30">
      <x:c r="F30" s="18"/>
      <x:c r="G30" s="18"/>
    </x:row>
    <x:row r="31">
      <x:c r="F31" s="18"/>
      <x:c r="G31" s="18"/>
    </x:row>
    <x:row r="32">
      <x:c r="F32" s="18"/>
      <x:c r="G32" s="18"/>
    </x:row>
    <x:row r="33">
      <x:c r="F33" s="18"/>
      <x:c r="G33" s="18"/>
    </x:row>
    <x:row r="34">
      <x:c r="F34" s="18"/>
      <x:c r="G34" s="18"/>
    </x:row>
    <x:row r="35">
      <x:c r="F35" s="18"/>
      <x:c r="G35" s="18"/>
    </x:row>
    <x:row r="36">
      <x:c r="F36" s="18"/>
      <x:c r="G36" s="18"/>
    </x:row>
    <x:row r="37">
      <x:c r="F37" s="18"/>
      <x:c r="G37" s="18"/>
    </x:row>
    <x:row r="38">
      <x:c r="F38" s="18"/>
      <x:c r="G38" s="18"/>
    </x:row>
    <x:row r="39">
      <x:c r="F39" s="18"/>
      <x:c r="G39" s="18"/>
    </x:row>
    <x:row r="40">
      <x:c r="F40" s="18"/>
      <x:c r="G40" s="18"/>
    </x:row>
    <x:row r="41">
      <x:c r="F41" s="18"/>
      <x:c r="G41" s="18"/>
    </x:row>
    <x:row r="42">
      <x:c r="F42" s="18"/>
      <x:c r="G42" s="18"/>
    </x:row>
    <x:row r="43">
      <x:c r="F43" s="18"/>
      <x:c r="G43" s="18"/>
    </x:row>
    <x:row r="44">
      <x:c r="F44" s="18"/>
      <x:c r="G44" s="18"/>
    </x:row>
    <x:row r="45">
      <x:c r="F45" s="18"/>
      <x:c r="G45" s="18"/>
    </x:row>
    <x:row r="46">
      <x:c r="F46" s="18"/>
      <x:c r="G46" s="18"/>
    </x:row>
    <x:row r="47">
      <x:c r="F47" s="18"/>
      <x:c r="G47" s="18"/>
    </x:row>
    <x:row r="48">
      <x:c r="F48" s="18"/>
      <x:c r="G48" s="18"/>
    </x:row>
    <x:row r="49">
      <x:c r="F49" s="18"/>
      <x:c r="G49" s="18"/>
    </x:row>
    <x:row r="50">
      <x:c r="F50" s="18"/>
      <x:c r="G50" s="18"/>
    </x:row>
    <x:row r="51">
      <x:c r="F51" s="18"/>
      <x:c r="G51" s="18"/>
    </x:row>
    <x:row r="52">
      <x:c r="F52" s="18"/>
      <x:c r="G52" s="18"/>
    </x:row>
    <x:row r="53">
      <x:c r="F53" s="18"/>
      <x:c r="G53" s="18"/>
    </x:row>
    <x:row r="54">
      <x:c r="F54" s="18"/>
      <x:c r="G54" s="18"/>
    </x:row>
    <x:row r="55">
      <x:c r="F55" s="18"/>
      <x:c r="G55" s="18"/>
    </x:row>
    <x:row r="56">
      <x:c r="F56" s="18"/>
      <x:c r="G56" s="18"/>
    </x:row>
    <x:row r="57">
      <x:c r="F57" s="18"/>
      <x:c r="G57" s="18"/>
    </x:row>
    <x:row r="58">
      <x:c r="F58" s="18"/>
      <x:c r="G58" s="18"/>
    </x:row>
    <x:row r="59">
      <x:c r="F59" s="18"/>
      <x:c r="G59" s="18"/>
    </x:row>
    <x:row r="60">
      <x:c r="F60" s="18"/>
      <x:c r="G60" s="18"/>
    </x:row>
    <x:row r="61">
      <x:c r="F61" s="18"/>
      <x:c r="G61" s="18"/>
    </x:row>
    <x:row r="62">
      <x:c r="F62" s="18"/>
      <x:c r="G62" s="18"/>
    </x:row>
    <x:row r="63">
      <x:c r="F63" s="18"/>
      <x:c r="G63" s="18"/>
    </x:row>
    <x:row r="64">
      <x:c r="F64" s="18"/>
      <x:c r="G64" s="18"/>
    </x:row>
    <x:row r="65">
      <x:c r="F65" s="18"/>
      <x:c r="G65" s="18"/>
    </x:row>
    <x:row r="66">
      <x:c r="F66" s="18"/>
      <x:c r="G66" s="18"/>
    </x:row>
    <x:row r="67">
      <x:c r="F67" s="18"/>
      <x:c r="G67" s="18"/>
    </x:row>
    <x:row r="68">
      <x:c r="F68" s="18"/>
      <x:c r="G68" s="18"/>
    </x:row>
    <x:row r="69">
      <x:c r="F69" s="18"/>
      <x:c r="G69" s="18"/>
    </x:row>
    <x:row r="70">
      <x:c r="F70" s="18"/>
      <x:c r="G70" s="18"/>
    </x:row>
    <x:row r="71">
      <x:c r="F71" s="18"/>
      <x:c r="G71" s="18"/>
    </x:row>
    <x:row r="72">
      <x:c r="F72" s="18"/>
      <x:c r="G72" s="18"/>
    </x:row>
    <x:row r="73">
      <x:c r="F73" s="18"/>
      <x:c r="G73" s="18"/>
    </x:row>
    <x:row r="74">
      <x:c r="F74" s="18"/>
      <x:c r="G74" s="18"/>
    </x:row>
    <x:row r="75">
      <x:c r="F75" s="18"/>
      <x:c r="G75" s="18"/>
    </x:row>
    <x:row r="76">
      <x:c r="F76" s="18"/>
      <x:c r="G76" s="18"/>
    </x:row>
    <x:row r="77">
      <x:c r="F77" s="18"/>
      <x:c r="G77" s="18"/>
    </x:row>
    <x:row r="78">
      <x:c r="F78" s="18"/>
      <x:c r="G78" s="18"/>
    </x:row>
    <x:row r="79">
      <x:c r="F79" s="18"/>
      <x:c r="G79" s="18"/>
    </x:row>
    <x:row r="80">
      <x:c r="F80" s="18"/>
      <x:c r="G80" s="18"/>
    </x:row>
    <x:row r="81">
      <x:c r="F81" s="18"/>
      <x:c r="G81" s="18"/>
    </x:row>
    <x:row r="82">
      <x:c r="F82" s="18"/>
      <x:c r="G82" s="18"/>
    </x:row>
    <x:row r="83">
      <x:c r="F83" s="18"/>
      <x:c r="G83" s="18"/>
    </x:row>
    <x:row r="84">
      <x:c r="F84" s="18"/>
      <x:c r="G84" s="18"/>
    </x:row>
    <x:row r="85">
      <x:c r="F85" s="18"/>
      <x:c r="G85" s="18"/>
    </x:row>
    <x:row r="86">
      <x:c r="F86" s="18"/>
      <x:c r="G86" s="18"/>
    </x:row>
    <x:row r="87">
      <x:c r="F87" s="18"/>
      <x:c r="G87" s="18"/>
    </x:row>
    <x:row r="88">
      <x:c r="F88" s="18"/>
      <x:c r="G88" s="18"/>
    </x:row>
    <x:row r="89">
      <x:c r="F89" s="18"/>
      <x:c r="G89" s="18"/>
    </x:row>
    <x:row r="90">
      <x:c r="F90" s="18"/>
      <x:c r="G90" s="18"/>
    </x:row>
    <x:row r="91">
      <x:c r="F91" s="18"/>
      <x:c r="G91" s="18"/>
    </x:row>
    <x:row r="92">
      <x:c r="F92" s="18"/>
      <x:c r="G92" s="18"/>
    </x:row>
    <x:row r="93">
      <x:c r="F93" s="18"/>
      <x:c r="G93" s="18"/>
    </x:row>
    <x:row r="94">
      <x:c r="F94" s="18"/>
      <x:c r="G94" s="18"/>
    </x:row>
    <x:row r="95">
      <x:c r="F95" s="18"/>
      <x:c r="G95" s="18"/>
    </x:row>
    <x:row r="96">
      <x:c r="F96" s="18"/>
      <x:c r="G96" s="18"/>
    </x:row>
    <x:row r="97">
      <x:c r="F97" s="18"/>
      <x:c r="G97" s="18"/>
    </x:row>
    <x:row r="98">
      <x:c r="F98" s="18"/>
      <x:c r="G98" s="18"/>
    </x:row>
    <x:row r="99">
      <x:c r="F99" s="18"/>
      <x:c r="G99" s="18"/>
    </x:row>
    <x:row r="100">
      <x:c r="F100" s="18"/>
      <x:c r="G100" s="18"/>
    </x:row>
  </x:sheetData>
  <x:pageMargins left="0.7" right="0.7" top="0.75" bottom="0.75" header="0.3" footer="0.3"/>
  <x:tableParts count="1">
    <x:tablePart xmlns:r="http://schemas.openxmlformats.org/officeDocument/2006/relationships" r:id="R06a6329c727c48d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8" hidden="0" customWidth="1"/>
    <x:col min="5" max="5" width="30" hidden="0" customWidth="1"/>
    <x:col min="6" max="6" width="16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62" hidden="0" customWidth="1"/>
    <x:col min="12" max="12" width="28" hidden="0" customWidth="1"/>
  </x:cols>
  <x:sheetData>
    <x:row r="1">
      <x:c r="A1" s="4" t="str">
        <x:v>comparison_id</x:v>
      </x:c>
      <x:c r="B1" s="4" t="str">
        <x:v>poll_id</x:v>
      </x:c>
      <x:c r="C1" s="4" t="str">
        <x:v>election_id</x:v>
      </x:c>
      <x:c r="D1" s="4" t="str">
        <x:v>comparison_variant</x:v>
      </x:c>
      <x:c r="E1" s="4" t="str">
        <x:v>aggregation_rule</x:v>
      </x:c>
      <x:c r="F1" s="4" t="str">
        <x:v>source_reported_sse</x:v>
      </x:c>
      <x:c r="G1" s="4" t="str">
        <x:v>computed_sse</x:v>
      </x:c>
      <x:c r="H1" s="4" t="str">
        <x:v>mae</x:v>
      </x:c>
      <x:c r="I1" s="4" t="str">
        <x:v>rmse</x:v>
      </x:c>
      <x:c r="J1" s="4" t="str">
        <x:v>party_count</x:v>
      </x:c>
      <x:c r="K1" s="4" t="str">
        <x:v>source_url</x:v>
      </x:c>
      <x:c r="L1" s="4" t="str">
        <x:v>source_type</x:v>
      </x:c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SUPP_C001</x:v>
      </x:c>
      <x:c r="B2" t="str">
        <x:v>SUPP_P001</x:v>
      </x:c>
      <x:c r="C2" t="str">
        <x:v>DE_NW_2022</x:v>
      </x:c>
      <x:c r="D2" t="str">
        <x:v>standard</x:v>
      </x:c>
      <x:c r="E2" t="str">
        <x:v>published categories</x:v>
      </x:c>
      <x:c r="F2" s="20"/>
      <x:c r="G2" s="20" t="n">
        <x:f>SUMIF(Poll_Party!$A:$A,A2,Poll_Party!$I:$I)</x:f>
        <x:v>20.010000000000023</x:v>
      </x:c>
      <x:c r="H2" s="20" t="n">
        <x:f>SUMIF(Poll_Party!$A:$A,A2,Poll_Party!$H:$H)/COUNTIF(Poll_Party!$A:$A,A2)</x:f>
        <x:v>1.3857142857142861</x:v>
      </x:c>
      <x:c r="I2" s="20" t="n">
        <x:f>SQRT(SUMIF(Poll_Party!$A:$A,A2,Poll_Party!$I:$I)/COUNTIF(Poll_Party!$A:$A,A2))</x:f>
        <x:v>1.6907310337754589</x:v>
      </x:c>
      <x:c r="J2" t="n">
        <x:v>7</x:v>
      </x:c>
      <x:c r="K2" t="str">
        <x:v>https://www.wahlrecht.de/umfragen/landtage/nrw.htm</x:v>
      </x:c>
      <x:c r="L2" t="str">
        <x:v>Wahlrecht/DAWUM</x:v>
      </x:c>
    </x:row>
    <x:row r="3">
      <x:c r="A3" t="str">
        <x:v>SUPP_C002</x:v>
      </x:c>
      <x:c r="B3" t="str">
        <x:v>SUPP_P002</x:v>
      </x:c>
      <x:c r="C3" t="str">
        <x:v>DE_NW_2022</x:v>
      </x:c>
      <x:c r="D3" t="str">
        <x:v>standard</x:v>
      </x:c>
      <x:c r="E3" t="str">
        <x:v>published categories</x:v>
      </x:c>
      <x:c r="F3" s="20" t="n">
        <x:v>23.8</x:v>
      </x:c>
      <x:c r="G3" s="20" t="n">
        <x:f>SUMIF(Poll_Party!$A:$A,A3,Poll_Party!$I:$I)</x:f>
        <x:v>23.810000000000024</x:v>
      </x:c>
      <x:c r="H3" s="20" t="n">
        <x:f>SUMIF(Poll_Party!$A:$A,A3,Poll_Party!$H:$H)/COUNTIF(Poll_Party!$A:$A,A3)</x:f>
        <x:v>1.4142857142857146</x:v>
      </x:c>
      <x:c r="I3" s="20" t="n">
        <x:f>SQRT(SUMIF(Poll_Party!$A:$A,A3,Poll_Party!$I:$I)/COUNTIF(Poll_Party!$A:$A,A3))</x:f>
        <x:v>1.8442962265939207</x:v>
      </x:c>
      <x:c r="J3" t="n">
        <x:v>7</x:v>
      </x:c>
      <x:c r="K3" t="str">
        <x:v>https://www.marktforschung.de/marktforschung/a/die-vorwahlumfragen-in-nrw-ein-knappes-ergebnis-sieht-anders-aus/</x:v>
      </x:c>
      <x:c r="L3" t="str">
        <x:v>marktforschung.de + Wahlrecht</x:v>
      </x:c>
    </x:row>
    <x:row r="4">
      <x:c r="A4" t="str">
        <x:v>SUPP_C003</x:v>
      </x:c>
      <x:c r="B4" t="str">
        <x:v>SUPP_P003</x:v>
      </x:c>
      <x:c r="C4" t="str">
        <x:v>DE_NW_2022</x:v>
      </x:c>
      <x:c r="D4" t="str">
        <x:v>standard</x:v>
      </x:c>
      <x:c r="E4" t="str">
        <x:v>published categories</x:v>
      </x:c>
      <x:c r="F4" s="20"/>
      <x:c r="G4" s="20" t="n">
        <x:f>SUMIF(Poll_Party!$A:$A,A4,Poll_Party!$I:$I)</x:f>
        <x:v>28.41000000000002</x:v>
      </x:c>
      <x:c r="H4" s="20" t="n">
        <x:f>SUMIF(Poll_Party!$A:$A,A4,Poll_Party!$H:$H)/COUNTIF(Poll_Party!$A:$A,A4)</x:f>
        <x:v>1.7000000000000004</x:v>
      </x:c>
      <x:c r="I4" s="20" t="n">
        <x:f>SQRT(SUMIF(Poll_Party!$A:$A,A4,Poll_Party!$I:$I)/COUNTIF(Poll_Party!$A:$A,A4))</x:f>
        <x:v>2.0145896427241534</x:v>
      </x:c>
      <x:c r="J4" t="n">
        <x:v>7</x:v>
      </x:c>
      <x:c r="K4" t="str">
        <x:v>https://dawum.de/Nordrhein-Westfalen/Civey/2022-05-12/</x:v>
      </x:c>
      <x:c r="L4" t="str">
        <x:v>DAWUM / Spiegel</x:v>
      </x:c>
    </x:row>
    <x:row r="5">
      <x:c r="A5" t="str">
        <x:v>SUPP_C004</x:v>
      </x:c>
      <x:c r="B5" t="str">
        <x:v>SUPP_P004</x:v>
      </x:c>
      <x:c r="C5" t="str">
        <x:v>DE_NW_2022</x:v>
      </x:c>
      <x:c r="D5" t="str">
        <x:v>standard</x:v>
      </x:c>
      <x:c r="E5" t="str">
        <x:v>published categories</x:v>
      </x:c>
      <x:c r="F5" s="20" t="n">
        <x:v>28</x:v>
      </x:c>
      <x:c r="G5" s="20" t="n">
        <x:f>SUMIF(Poll_Party!$A:$A,A5,Poll_Party!$I:$I)</x:f>
        <x:v>28.010000000000016</x:v>
      </x:c>
      <x:c r="H5" s="20" t="n">
        <x:f>SUMIF(Poll_Party!$A:$A,A5,Poll_Party!$H:$H)/COUNTIF(Poll_Party!$A:$A,A5)</x:f>
        <x:v>1.7000000000000004</x:v>
      </x:c>
      <x:c r="I5" s="20" t="n">
        <x:f>SQRT(SUMIF(Poll_Party!$A:$A,A5,Poll_Party!$I:$I)/COUNTIF(Poll_Party!$A:$A,A5))</x:f>
        <x:v>2.0003571109750813</x:v>
      </x:c>
      <x:c r="J5" t="n">
        <x:v>7</x:v>
      </x:c>
      <x:c r="K5" t="str">
        <x:v>https://www.marktforschung.de/marktforschung/a/die-vorwahlumfragen-in-nrw-ein-knappes-ergebnis-sieht-anders-aus/</x:v>
      </x:c>
      <x:c r="L5" t="str">
        <x:v>marktforschung.de + Wahlrecht</x:v>
      </x:c>
    </x:row>
    <x:row r="6">
      <x:c r="A6" t="str">
        <x:v>SUPP_C005</x:v>
      </x:c>
      <x:c r="B6" t="str">
        <x:v>SUPP_P005</x:v>
      </x:c>
      <x:c r="C6" t="str">
        <x:v>DE_NW_2022</x:v>
      </x:c>
      <x:c r="D6" t="str">
        <x:v>standard</x:v>
      </x:c>
      <x:c r="E6" t="str">
        <x:v>published categories</x:v>
      </x:c>
      <x:c r="F6" s="20"/>
      <x:c r="G6" s="20" t="n">
        <x:f>SUMIF(Poll_Party!$A:$A,A6,Poll_Party!$I:$I)</x:f>
        <x:v>51.81000000000003</x:v>
      </x:c>
      <x:c r="H6" s="20" t="n">
        <x:f>SUMIF(Poll_Party!$A:$A,A6,Poll_Party!$H:$H)/COUNTIF(Poll_Party!$A:$A,A6)</x:f>
        <x:v>2.2428571428571433</x:v>
      </x:c>
      <x:c r="I6" s="20" t="n">
        <x:f>SQRT(SUMIF(Poll_Party!$A:$A,A6,Poll_Party!$I:$I)/COUNTIF(Poll_Party!$A:$A,A6))</x:f>
        <x:v>2.720556665726442</x:v>
      </x:c>
      <x:c r="J6" t="n">
        <x:v>7</x:v>
      </x:c>
      <x:c r="K6" t="str">
        <x:v>https://www.wahlrecht.de/umfragen/landtage/nrw.htm</x:v>
      </x:c>
      <x:c r="L6" t="str">
        <x:v>Wahlrecht.de</x:v>
      </x:c>
    </x:row>
    <x:row r="7">
      <x:c r="A7" t="str">
        <x:v>SUPP_C006</x:v>
      </x:c>
      <x:c r="B7" t="str">
        <x:v>SUPP_P006</x:v>
      </x:c>
      <x:c r="C7" t="str">
        <x:v>DE_NW_2022</x:v>
      </x:c>
      <x:c r="D7" t="str">
        <x:v>standard</x:v>
      </x:c>
      <x:c r="E7" t="str">
        <x:v>published categories</x:v>
      </x:c>
      <x:c r="F7" s="20"/>
      <x:c r="G7" s="20" t="n">
        <x:f>SUMIF(Poll_Party!$A:$A,A7,Poll_Party!$I:$I)</x:f>
        <x:v>58.21000000000003</x:v>
      </x:c>
      <x:c r="H7" s="20" t="n">
        <x:f>SUMIF(Poll_Party!$A:$A,A7,Poll_Party!$H:$H)/COUNTIF(Poll_Party!$A:$A,A7)</x:f>
        <x:v>2.557142857142858</x:v>
      </x:c>
      <x:c r="I7" s="20" t="n">
        <x:f>SQRT(SUMIF(Poll_Party!$A:$A,A7,Poll_Party!$I:$I)/COUNTIF(Poll_Party!$A:$A,A7))</x:f>
        <x:v>2.88369802262898</x:v>
      </x:c>
      <x:c r="J7" t="n">
        <x:v>7</x:v>
      </x:c>
      <x:c r="K7" t="str">
        <x:v>https://www.wahlrecht.de/umfragen/landtage/nrw.htm</x:v>
      </x:c>
      <x:c r="L7" t="str">
        <x:v>Wahlrecht.de</x:v>
      </x:c>
    </x:row>
    <x:row r="8">
      <x:c r="A8" t="str">
        <x:v>SUPP_C007</x:v>
      </x:c>
      <x:c r="B8" t="str">
        <x:v>SUPP_P007</x:v>
      </x:c>
      <x:c r="C8" t="str">
        <x:v>DE_HB_2023</x:v>
      </x:c>
      <x:c r="D8" t="str">
        <x:v>standard</x:v>
      </x:c>
      <x:c r="E8" t="str">
        <x:v>published categories</x:v>
      </x:c>
      <x:c r="F8" s="20" t="n">
        <x:v>5.96</x:v>
      </x:c>
      <x:c r="G8" s="20" t="n">
        <x:f>SUMIF(Poll_Party!$A:$A,A8,Poll_Party!$I:$I)</x:f>
        <x:v>5.960000000000001</x:v>
      </x:c>
      <x:c r="H8" s="20" t="n">
        <x:f>SUMIF(Poll_Party!$A:$A,A8,Poll_Party!$H:$H)/COUNTIF(Poll_Party!$A:$A,A8)</x:f>
        <x:v>0.7714285714285714</x:v>
      </x:c>
      <x:c r="I8" s="20" t="n">
        <x:f>SQRT(SUMIF(Poll_Party!$A:$A,A8,Poll_Party!$I:$I)/COUNTIF(Poll_Party!$A:$A,A8))</x:f>
        <x:v>0.9227288721117225</x:v>
      </x:c>
      <x:c r="J8" t="n">
        <x:v>7</x:v>
      </x:c>
      <x:c r="K8" t="str">
        <x:v>https://www.marktforschung.de/marktforschung/a/was-lang-waehrt-ist-endlich-ausgezaehlt-die-bremer-buergerschaftswahl/</x:v>
      </x:c>
      <x:c r="L8" t="str">
        <x:v>marktforschung.de + DAWUM</x:v>
      </x:c>
    </x:row>
    <x:row r="9">
      <x:c r="A9" t="str">
        <x:v>SUPP_C008</x:v>
      </x:c>
      <x:c r="B9" t="str">
        <x:v>SUPP_P008</x:v>
      </x:c>
      <x:c r="C9" t="str">
        <x:v>DE_HB_2023</x:v>
      </x:c>
      <x:c r="D9" t="str">
        <x:v>standard</x:v>
      </x:c>
      <x:c r="E9" t="str">
        <x:v>published categories</x:v>
      </x:c>
      <x:c r="F9" s="20" t="n">
        <x:v>6.56</x:v>
      </x:c>
      <x:c r="G9" s="20" t="n">
        <x:f>SUMIF(Poll_Party!$A:$A,A9,Poll_Party!$I:$I)</x:f>
        <x:v>6.560000000000002</x:v>
      </x:c>
      <x:c r="H9" s="20" t="n">
        <x:f>SUMIF(Poll_Party!$A:$A,A9,Poll_Party!$H:$H)/COUNTIF(Poll_Party!$A:$A,A9)</x:f>
        <x:v>0.8571428571428573</x:v>
      </x:c>
      <x:c r="I9" s="20" t="n">
        <x:f>SQRT(SUMIF(Poll_Party!$A:$A,A9,Poll_Party!$I:$I)/COUNTIF(Poll_Party!$A:$A,A9))</x:f>
        <x:v>0.9680613912055668</x:v>
      </x:c>
      <x:c r="J9" t="n">
        <x:v>7</x:v>
      </x:c>
      <x:c r="K9" t="str">
        <x:v>https://www.marktforschung.de/marktforschung/a/was-lang-waehrt-ist-endlich-ausgezaehlt-die-bremer-buergerschaftswahl/</x:v>
      </x:c>
      <x:c r="L9" t="str">
        <x:v>marktforschung.de + Wahlrecht</x:v>
      </x:c>
    </x:row>
    <x:row r="10">
      <x:c r="A10" t="str">
        <x:v>SUPP_C009</x:v>
      </x:c>
      <x:c r="B10" t="str">
        <x:v>SUPP_P009</x:v>
      </x:c>
      <x:c r="C10" t="str">
        <x:v>DE_HB_2023</x:v>
      </x:c>
      <x:c r="D10" t="str">
        <x:v>standard</x:v>
      </x:c>
      <x:c r="E10" t="str">
        <x:v>published categories</x:v>
      </x:c>
      <x:c r="F10" s="20"/>
      <x:c r="G10" s="20" t="n">
        <x:f>SUMIF(Poll_Party!$A:$A,A10,Poll_Party!$I:$I)</x:f>
        <x:v>9.760000000000005</x:v>
      </x:c>
      <x:c r="H10" s="20" t="n">
        <x:f>SUMIF(Poll_Party!$A:$A,A10,Poll_Party!$H:$H)/COUNTIF(Poll_Party!$A:$A,A10)</x:f>
        <x:v>0.942857142857143</x:v>
      </x:c>
      <x:c r="I10" s="20" t="n">
        <x:f>SQRT(SUMIF(Poll_Party!$A:$A,A10,Poll_Party!$I:$I)/COUNTIF(Poll_Party!$A:$A,A10))</x:f>
        <x:v>1.180798761129819</x:v>
      </x:c>
      <x:c r="J10" t="n">
        <x:v>7</x:v>
      </x:c>
      <x:c r="K10" t="str">
        <x:v>https://www.marktforschung.de/marktforschung/a/was-lang-waehrt-ist-endlich-ausgezaehlt-die-bremer-buergerschaftswahl/</x:v>
      </x:c>
      <x:c r="L10" t="str">
        <x:v>marktforschung.de + DAWUM</x:v>
      </x:c>
    </x:row>
    <x:row r="11">
      <x:c r="A11" t="str">
        <x:v>SUPP_C010</x:v>
      </x:c>
      <x:c r="B11" t="str">
        <x:v>SUPP_P010</x:v>
      </x:c>
      <x:c r="C11" t="str">
        <x:v>DE_MV_2021</x:v>
      </x:c>
      <x:c r="D11" t="str">
        <x:v>standard</x:v>
      </x:c>
      <x:c r="E11" t="str">
        <x:v>published categories</x:v>
      </x:c>
      <x:c r="F11" s="20"/>
      <x:c r="G11" s="20" t="n">
        <x:f>SUMIF(Poll_Party!$A:$A,A11,Poll_Party!$I:$I)</x:f>
        <x:v>3.6799999999999984</x:v>
      </x:c>
      <x:c r="H11" s="20" t="n">
        <x:f>SUMIF(Poll_Party!$A:$A,A11,Poll_Party!$H:$H)/COUNTIF(Poll_Party!$A:$A,A11)</x:f>
        <x:v>0.6249999999999999</x:v>
      </x:c>
      <x:c r="I11" s="20" t="n">
        <x:f>SQRT(SUMIF(Poll_Party!$A:$A,A11,Poll_Party!$I:$I)/COUNTIF(Poll_Party!$A:$A,A11))</x:f>
        <x:v>0.6782329983125267</x:v>
      </x:c>
      <x:c r="J11" t="n">
        <x:v>8</x:v>
      </x:c>
      <x:c r="K11" t="str">
        <x:v>https://www.wahlrecht.de/umfragen/landtage/mecklenburg-vorpommern.htm</x:v>
      </x:c>
      <x:c r="L11" t="str">
        <x:v>replacement source: Wahlrecht.de</x:v>
      </x:c>
    </x:row>
    <x:row r="12">
      <x:c r="A12" t="str">
        <x:v>SUPP_C011</x:v>
      </x:c>
      <x:c r="B12" t="str">
        <x:v>SUPP_P011</x:v>
      </x:c>
      <x:c r="C12" t="str">
        <x:v>DE_MV_2021</x:v>
      </x:c>
      <x:c r="D12" t="str">
        <x:v>standard</x:v>
      </x:c>
      <x:c r="E12" t="str">
        <x:v>published categories</x:v>
      </x:c>
      <x:c r="F12" s="20"/>
      <x:c r="G12" s="20" t="n">
        <x:f>SUMIF(Poll_Party!$A:$A,A12,Poll_Party!$I:$I)</x:f>
        <x:v>3.779999999999999</x:v>
      </x:c>
      <x:c r="H12" s="20" t="n">
        <x:f>SUMIF(Poll_Party!$A:$A,A12,Poll_Party!$H:$H)/COUNTIF(Poll_Party!$A:$A,A12)</x:f>
        <x:v>0.6249999999999999</x:v>
      </x:c>
      <x:c r="I12" s="20" t="n">
        <x:f>SQRT(SUMIF(Poll_Party!$A:$A,A12,Poll_Party!$I:$I)/COUNTIF(Poll_Party!$A:$A,A12))</x:f>
        <x:v>0.6873863542433759</x:v>
      </x:c>
      <x:c r="J12" t="n">
        <x:v>8</x:v>
      </x:c>
      <x:c r="K12" t="str">
        <x:v>https://www.wahlrecht.de/umfragen/landtage/mecklenburg-vorpommern.htm</x:v>
      </x:c>
      <x:c r="L12" t="str">
        <x:v>replacement source: Wahlrecht.de</x:v>
      </x:c>
    </x:row>
    <x:row r="13">
      <x:c r="A13" t="str">
        <x:v>SUPP_C012</x:v>
      </x:c>
      <x:c r="B13" t="str">
        <x:v>SUPP_P012</x:v>
      </x:c>
      <x:c r="C13" t="str">
        <x:v>DE_MV_2021</x:v>
      </x:c>
      <x:c r="D13" t="str">
        <x:v>standard</x:v>
      </x:c>
      <x:c r="E13" t="str">
        <x:v>published categories</x:v>
      </x:c>
      <x:c r="F13" s="20"/>
      <x:c r="G13" s="20" t="n">
        <x:f>SUMIF(Poll_Party!$A:$A,A13,Poll_Party!$I:$I)</x:f>
        <x:v>9.279999999999994</x:v>
      </x:c>
      <x:c r="H13" s="20" t="n">
        <x:f>SUMIF(Poll_Party!$A:$A,A13,Poll_Party!$H:$H)/COUNTIF(Poll_Party!$A:$A,A13)</x:f>
        <x:v>0.8999999999999996</x:v>
      </x:c>
      <x:c r="I13" s="20" t="n">
        <x:f>SQRT(SUMIF(Poll_Party!$A:$A,A13,Poll_Party!$I:$I)/COUNTIF(Poll_Party!$A:$A,A13))</x:f>
        <x:v>1.0770329614269005</x:v>
      </x:c>
      <x:c r="J13" t="n">
        <x:v>8</x:v>
      </x:c>
      <x:c r="K13" t="str">
        <x:v>https://www.wahlrecht.de/umfragen/landtage/mecklenburg-vorpommern.htm</x:v>
      </x:c>
      <x:c r="L13" t="str">
        <x:v>replacement source: Wahlrecht.de</x:v>
      </x:c>
    </x:row>
    <x:row r="14">
      <x:c r="A14" t="str">
        <x:v>SUPP_C013</x:v>
      </x:c>
      <x:c r="B14" t="str">
        <x:v>SUPP_P013</x:v>
      </x:c>
      <x:c r="C14" t="str">
        <x:v>DE_BE_2021</x:v>
      </x:c>
      <x:c r="D14" t="str">
        <x:v>standard</x:v>
      </x:c>
      <x:c r="E14" t="str">
        <x:v>minor parties aggregated</x:v>
      </x:c>
      <x:c r="F14" s="20"/>
      <x:c r="G14" s="20" t="n">
        <x:f>SUMIF(Poll_Party!$A:$A,A14,Poll_Party!$I:$I)</x:f>
        <x:v>25.15</x:v>
      </x:c>
      <x:c r="H14" s="20" t="n">
        <x:f>SUMIF(Poll_Party!$A:$A,A14,Poll_Party!$H:$H)/COUNTIF(Poll_Party!$A:$A,A14)</x:f>
        <x:v>1.5571428571428572</x:v>
      </x:c>
      <x:c r="I14" s="20" t="n">
        <x:f>SQRT(SUMIF(Poll_Party!$A:$A,A14,Poll_Party!$I:$I)/COUNTIF(Poll_Party!$A:$A,A14))</x:f>
        <x:v>1.8954833533579614</x:v>
      </x:c>
      <x:c r="J14" t="n">
        <x:v>7</x:v>
      </x:c>
      <x:c r="K14" t="str">
        <x:v>https://www.wahlrecht.de/umfragen/landtage/berlin.htm</x:v>
      </x:c>
      <x:c r="L14" t="str">
        <x:v>replacement source: Wahlrecht.de</x:v>
      </x:c>
    </x:row>
    <x:row r="15">
      <x:c r="A15" t="str">
        <x:v>SUPP_C014</x:v>
      </x:c>
      <x:c r="B15" t="str">
        <x:v>SUPP_P014</x:v>
      </x:c>
      <x:c r="C15" t="str">
        <x:v>DE_BE_2021</x:v>
      </x:c>
      <x:c r="D15" t="str">
        <x:v>standard</x:v>
      </x:c>
      <x:c r="E15" t="str">
        <x:v>minor parties aggregated</x:v>
      </x:c>
      <x:c r="F15" s="20"/>
      <x:c r="G15" s="20" t="n">
        <x:f>SUMIF(Poll_Party!$A:$A,A15,Poll_Party!$I:$I)</x:f>
        <x:v>3.9500000000000006</x:v>
      </x:c>
      <x:c r="H15" s="20" t="n">
        <x:f>SUMIF(Poll_Party!$A:$A,A15,Poll_Party!$H:$H)/COUNTIF(Poll_Party!$A:$A,A15)</x:f>
        <x:v>0.6428571428571431</x:v>
      </x:c>
      <x:c r="I15" s="20" t="n">
        <x:f>SQRT(SUMIF(Poll_Party!$A:$A,A15,Poll_Party!$I:$I)/COUNTIF(Poll_Party!$A:$A,A15))</x:f>
        <x:v>0.7511895328648519</x:v>
      </x:c>
      <x:c r="J15" t="n">
        <x:v>7</x:v>
      </x:c>
      <x:c r="K15" t="str">
        <x:v>https://www.wahlrecht.de/umfragen/landtage/berlin.htm</x:v>
      </x:c>
      <x:c r="L15" t="str">
        <x:v>replacement source: Wahlrecht.de</x:v>
      </x:c>
    </x:row>
    <x:row r="16">
      <x:c r="A16" t="str">
        <x:v>SUPP_C015</x:v>
      </x:c>
      <x:c r="B16" t="str">
        <x:v>SUPP_P015</x:v>
      </x:c>
      <x:c r="C16" t="str">
        <x:v>DE_BE_2021</x:v>
      </x:c>
      <x:c r="D16" t="str">
        <x:v>standard</x:v>
      </x:c>
      <x:c r="E16" t="str">
        <x:v>minor parties aggregated</x:v>
      </x:c>
      <x:c r="F16" s="20"/>
      <x:c r="G16" s="20" t="n">
        <x:f>SUMIF(Poll_Party!$A:$A,A16,Poll_Party!$I:$I)</x:f>
        <x:v>16.950000000000006</x:v>
      </x:c>
      <x:c r="H16" s="20" t="n">
        <x:f>SUMIF(Poll_Party!$A:$A,A16,Poll_Party!$H:$H)/COUNTIF(Poll_Party!$A:$A,A16)</x:f>
        <x:v>1.3</x:v>
      </x:c>
      <x:c r="I16" s="20" t="n">
        <x:f>SQRT(SUMIF(Poll_Party!$A:$A,A16,Poll_Party!$I:$I)/COUNTIF(Poll_Party!$A:$A,A16))</x:f>
        <x:v>1.5560940111151935</x:v>
      </x:c>
      <x:c r="J16" t="n">
        <x:v>7</x:v>
      </x:c>
      <x:c r="K16" t="str">
        <x:v>https://www.wahlrecht.de/umfragen/landtage/berlin.htm</x:v>
      </x:c>
      <x:c r="L16" t="str">
        <x:v>replacement source: Wahlrecht.de</x:v>
      </x:c>
    </x:row>
    <x:row r="17">
      <x:c r="A17" t="str">
        <x:v>SUPP_C016</x:v>
      </x:c>
      <x:c r="B17" t="str">
        <x:v>SUPP_P016</x:v>
      </x:c>
      <x:c r="C17" t="str">
        <x:v>DE_NW_2022</x:v>
      </x:c>
      <x:c r="D17" t="str">
        <x:v>standard</x:v>
      </x:c>
      <x:c r="E17" t="str">
        <x:v>published categories</x:v>
      </x:c>
      <x:c r="F17" s="20"/>
      <x:c r="G17" s="20" t="n">
        <x:f>SUMIF(Poll_Party!$A:$A,A17,Poll_Party!$I:$I)</x:f>
        <x:v>55.910000000000025</x:v>
      </x:c>
      <x:c r="H17" s="20" t="n">
        <x:f>SUMIF(Poll_Party!$A:$A,A17,Poll_Party!$H:$H)/COUNTIF(Poll_Party!$A:$A,A17)</x:f>
        <x:v>2.271428571428572</x:v>
      </x:c>
      <x:c r="I17" s="20" t="n">
        <x:f>SQRT(SUMIF(Poll_Party!$A:$A,A17,Poll_Party!$I:$I)/COUNTIF(Poll_Party!$A:$A,A17))</x:f>
        <x:v>2.8261533675904533</x:v>
      </x:c>
      <x:c r="J17" t="n">
        <x:v>7</x:v>
      </x:c>
      <x:c r="K17" t="str">
        <x:v>https://dawum.de/Nordrhein-Westfalen/Wahlkreisprognose_de/2022-05-06/</x:v>
      </x:c>
      <x:c r="L17" t="str">
        <x:v>DAWUM</x:v>
      </x:c>
    </x:row>
    <x:row r="18">
      <x:c r="A18" t="str">
        <x:v>SUPP_C017</x:v>
      </x:c>
      <x:c r="B18" t="str">
        <x:v>SUPP_P017</x:v>
      </x:c>
      <x:c r="C18" t="str">
        <x:v>DE_HB_2023</x:v>
      </x:c>
      <x:c r="D18" t="str">
        <x:v>standard</x:v>
      </x:c>
      <x:c r="E18" t="str">
        <x:v>published categories</x:v>
      </x:c>
      <x:c r="F18" s="20"/>
      <x:c r="G18" s="20" t="n">
        <x:f>SUMIF(Poll_Party!$A:$A,A18,Poll_Party!$I:$I)</x:f>
        <x:v>3.359999999999999</x:v>
      </x:c>
      <x:c r="H18" s="20" t="n">
        <x:f>SUMIF(Poll_Party!$A:$A,A18,Poll_Party!$H:$H)/COUNTIF(Poll_Party!$A:$A,A18)</x:f>
        <x:v>0.6285714285714284</x:v>
      </x:c>
      <x:c r="I18" s="20" t="n">
        <x:f>SQRT(SUMIF(Poll_Party!$A:$A,A18,Poll_Party!$I:$I)/COUNTIF(Poll_Party!$A:$A,A18))</x:f>
        <x:v>0.6928203230275508</x:v>
      </x:c>
      <x:c r="J18" t="n">
        <x:v>7</x:v>
      </x:c>
      <x:c r="K18" t="str">
        <x:v>https://dawum.de/Bremen/Wahlkreisprognose_de/2023-05-13/</x:v>
      </x:c>
      <x:c r="L18" t="str">
        <x:v>DAWUM</x:v>
      </x:c>
    </x:row>
    <x:row r="19">
      <x:c r="A19" t="str">
        <x:v>SUPP_C018</x:v>
      </x:c>
      <x:c r="B19" t="str">
        <x:v>SUPP_P018</x:v>
      </x:c>
      <x:c r="C19" t="str">
        <x:v>DE_MV_2021</x:v>
      </x:c>
      <x:c r="D19" t="str">
        <x:v>standard</x:v>
      </x:c>
      <x:c r="E19" t="str">
        <x:v>NPD aggregated into Others</x:v>
      </x:c>
      <x:c r="F19" s="20"/>
      <x:c r="G19" s="20" t="n">
        <x:f>SUMIF(Poll_Party!$A:$A,A19,Poll_Party!$I:$I)</x:f>
        <x:v>15.640000000000004</x:v>
      </x:c>
      <x:c r="H19" s="20" t="n">
        <x:f>SUMIF(Poll_Party!$A:$A,A19,Poll_Party!$H:$H)/COUNTIF(Poll_Party!$A:$A,A19)</x:f>
        <x:v>1.3142857142857147</x:v>
      </x:c>
      <x:c r="I19" s="20" t="n">
        <x:f>SQRT(SUMIF(Poll_Party!$A:$A,A19,Poll_Party!$I:$I)/COUNTIF(Poll_Party!$A:$A,A19))</x:f>
        <x:v>1.494752726803238</x:v>
      </x:c>
      <x:c r="J19" t="n">
        <x:v>7</x:v>
      </x:c>
      <x:c r="K19" t="str">
        <x:v>https://dawum.de/Mecklenburg-Vorpommern/Civey/2021-09-23/</x:v>
      </x:c>
      <x:c r="L19" t="str">
        <x:v>DAWUM</x:v>
      </x:c>
    </x:row>
    <x:row r="20">
      <x:c r="A20" t="str">
        <x:v>SUPP_C019</x:v>
      </x:c>
      <x:c r="B20" t="str">
        <x:v>SUPP_P019</x:v>
      </x:c>
      <x:c r="C20" t="str">
        <x:v>DE_MV_2021</x:v>
      </x:c>
      <x:c r="D20" t="str">
        <x:v>standard</x:v>
      </x:c>
      <x:c r="E20" t="str">
        <x:v>NPD aggregated into Others</x:v>
      </x:c>
      <x:c r="F20" s="20"/>
      <x:c r="G20" s="20" t="n">
        <x:f>SUMIF(Poll_Party!$A:$A,A20,Poll_Party!$I:$I)</x:f>
        <x:v>2.639999999999996</x:v>
      </x:c>
      <x:c r="H20" s="20" t="n">
        <x:f>SUMIF(Poll_Party!$A:$A,A20,Poll_Party!$H:$H)/COUNTIF(Poll_Party!$A:$A,A20)</x:f>
        <x:v>0.5142857142857137</x:v>
      </x:c>
      <x:c r="I20" s="20" t="n">
        <x:f>SQRT(SUMIF(Poll_Party!$A:$A,A20,Poll_Party!$I:$I)/COUNTIF(Poll_Party!$A:$A,A20))</x:f>
        <x:v>0.6141195788629903</x:v>
      </x:c>
      <x:c r="J20" t="n">
        <x:v>7</x:v>
      </x:c>
      <x:c r="K20" t="str">
        <x:v>https://dawum.de/Mecklenburg-Vorpommern/Wahlkreisprognose_de/2021-09-24/</x:v>
      </x:c>
      <x:c r="L20" t="str">
        <x:v>DAWUM</x:v>
      </x:c>
    </x:row>
    <x:row r="21">
      <x:c r="A21" t="str">
        <x:v>SUPP_C020</x:v>
      </x:c>
      <x:c r="B21" t="str">
        <x:v>SUPP_P020</x:v>
      </x:c>
      <x:c r="C21" t="str">
        <x:v>DE_BE_2021</x:v>
      </x:c>
      <x:c r="D21" t="str">
        <x:v>standard</x:v>
      </x:c>
      <x:c r="E21" t="str">
        <x:v>minor parties aggregated</x:v>
      </x:c>
      <x:c r="F21" s="20"/>
      <x:c r="G21" s="20" t="n">
        <x:f>SUMIF(Poll_Party!$A:$A,A21,Poll_Party!$I:$I)</x:f>
        <x:v>19.950000000000003</x:v>
      </x:c>
      <x:c r="H21" s="20" t="n">
        <x:f>SUMIF(Poll_Party!$A:$A,A21,Poll_Party!$H:$H)/COUNTIF(Poll_Party!$A:$A,A21)</x:f>
        <x:v>1.4428571428571428</x:v>
      </x:c>
      <x:c r="I21" s="20" t="n">
        <x:f>SQRT(SUMIF(Poll_Party!$A:$A,A21,Poll_Party!$I:$I)/COUNTIF(Poll_Party!$A:$A,A21))</x:f>
        <x:v>1.6881943016134133</x:v>
      </x:c>
      <x:c r="J21" t="n">
        <x:v>7</x:v>
      </x:c>
      <x:c r="K21" t="str">
        <x:v>https://dawum.de/Berlin/Civey/2021-09-24/</x:v>
      </x:c>
      <x:c r="L21" t="str">
        <x:v>DAWUM</x:v>
      </x:c>
    </x:row>
    <x:row r="22">
      <x:c r="A22" t="str">
        <x:v>SUPP_C021</x:v>
      </x:c>
      <x:c r="B22" t="str">
        <x:v>SUPP_P021</x:v>
      </x:c>
      <x:c r="C22" t="str">
        <x:v>DE_BE_2021</x:v>
      </x:c>
      <x:c r="D22" t="str">
        <x:v>standard</x:v>
      </x:c>
      <x:c r="E22" t="str">
        <x:v>minor parties aggregated</x:v>
      </x:c>
      <x:c r="F22" s="20"/>
      <x:c r="G22" s="20" t="n">
        <x:f>SUMIF(Poll_Party!$A:$A,A22,Poll_Party!$I:$I)</x:f>
        <x:v>38.75</x:v>
      </x:c>
      <x:c r="H22" s="20" t="n">
        <x:f>SUMIF(Poll_Party!$A:$A,A22,Poll_Party!$H:$H)/COUNTIF(Poll_Party!$A:$A,A22)</x:f>
        <x:v>1.842857142857143</x:v>
      </x:c>
      <x:c r="I22" s="20" t="n">
        <x:f>SQRT(SUMIF(Poll_Party!$A:$A,A22,Poll_Party!$I:$I)/COUNTIF(Poll_Party!$A:$A,A22))</x:f>
        <x:v>2.3528098702858005</x:v>
      </x:c>
      <x:c r="J22" t="n">
        <x:v>7</x:v>
      </x:c>
      <x:c r="K22" t="str">
        <x:v>https://dawum.de/Berlin/Wahlkreisprognose_de/2021-09-24/</x:v>
      </x:c>
      <x:c r="L22" t="str">
        <x:v>DAWUM</x:v>
      </x:c>
    </x:row>
    <x:row r="23">
      <x:c r="F23" s="20"/>
      <x:c r="G23" s="20"/>
      <x:c r="H23" s="20"/>
      <x:c r="I23" s="20"/>
    </x:row>
    <x:row r="24">
      <x:c r="F24" s="20"/>
      <x:c r="G24" s="20"/>
      <x:c r="H24" s="20"/>
      <x:c r="I24" s="20"/>
    </x:row>
    <x:row r="25">
      <x:c r="F25" s="20"/>
      <x:c r="G25" s="20"/>
      <x:c r="H25" s="20"/>
      <x:c r="I25" s="20"/>
    </x:row>
    <x:row r="26">
      <x:c r="F26" s="20"/>
      <x:c r="G26" s="20"/>
      <x:c r="H26" s="20"/>
      <x:c r="I26" s="20"/>
    </x:row>
    <x:row r="27">
      <x:c r="F27" s="20"/>
      <x:c r="G27" s="20"/>
      <x:c r="H27" s="20"/>
      <x:c r="I27" s="20"/>
    </x:row>
    <x:row r="28">
      <x:c r="F28" s="20"/>
      <x:c r="G28" s="20"/>
      <x:c r="H28" s="20"/>
      <x:c r="I28" s="20"/>
    </x:row>
    <x:row r="29">
      <x:c r="F29" s="20"/>
      <x:c r="G29" s="20"/>
      <x:c r="H29" s="20"/>
      <x:c r="I29" s="20"/>
    </x:row>
    <x:row r="30">
      <x:c r="F30" s="20"/>
      <x:c r="G30" s="20"/>
      <x:c r="H30" s="20"/>
      <x:c r="I30" s="20"/>
    </x:row>
    <x:row r="31">
      <x:c r="F31" s="20"/>
      <x:c r="G31" s="20"/>
      <x:c r="H31" s="20"/>
      <x:c r="I31" s="20"/>
    </x:row>
    <x:row r="32">
      <x:c r="F32" s="20"/>
      <x:c r="G32" s="20"/>
      <x:c r="H32" s="20"/>
      <x:c r="I32" s="20"/>
    </x:row>
    <x:row r="33">
      <x:c r="F33" s="20"/>
      <x:c r="G33" s="20"/>
      <x:c r="H33" s="20"/>
      <x:c r="I33" s="20"/>
    </x:row>
    <x:row r="34">
      <x:c r="F34" s="20"/>
      <x:c r="G34" s="20"/>
      <x:c r="H34" s="20"/>
      <x:c r="I34" s="20"/>
    </x:row>
    <x:row r="35">
      <x:c r="F35" s="20"/>
      <x:c r="G35" s="20"/>
      <x:c r="H35" s="20"/>
      <x:c r="I35" s="20"/>
    </x:row>
    <x:row r="36">
      <x:c r="F36" s="20"/>
      <x:c r="G36" s="20"/>
      <x:c r="H36" s="20"/>
      <x:c r="I36" s="20"/>
    </x:row>
    <x:row r="37">
      <x:c r="F37" s="20"/>
      <x:c r="G37" s="20"/>
      <x:c r="H37" s="20"/>
      <x:c r="I37" s="20"/>
    </x:row>
    <x:row r="38">
      <x:c r="F38" s="20"/>
      <x:c r="G38" s="20"/>
      <x:c r="H38" s="20"/>
      <x:c r="I38" s="20"/>
    </x:row>
    <x:row r="39">
      <x:c r="F39" s="20"/>
      <x:c r="G39" s="20"/>
      <x:c r="H39" s="20"/>
      <x:c r="I39" s="20"/>
    </x:row>
    <x:row r="40">
      <x:c r="F40" s="20"/>
      <x:c r="G40" s="20"/>
      <x:c r="H40" s="20"/>
      <x:c r="I40" s="20"/>
    </x:row>
    <x:row r="41">
      <x:c r="F41" s="20"/>
      <x:c r="G41" s="20"/>
      <x:c r="H41" s="20"/>
      <x:c r="I41" s="20"/>
    </x:row>
    <x:row r="42">
      <x:c r="F42" s="20"/>
      <x:c r="G42" s="20"/>
      <x:c r="H42" s="20"/>
      <x:c r="I42" s="20"/>
    </x:row>
    <x:row r="43">
      <x:c r="F43" s="20"/>
      <x:c r="G43" s="20"/>
      <x:c r="H43" s="20"/>
      <x:c r="I43" s="20"/>
    </x:row>
    <x:row r="44">
      <x:c r="F44" s="20"/>
      <x:c r="G44" s="20"/>
      <x:c r="H44" s="20"/>
      <x:c r="I44" s="20"/>
    </x:row>
    <x:row r="45">
      <x:c r="F45" s="20"/>
      <x:c r="G45" s="20"/>
      <x:c r="H45" s="20"/>
      <x:c r="I45" s="20"/>
    </x:row>
    <x:row r="46">
      <x:c r="F46" s="20"/>
      <x:c r="G46" s="20"/>
      <x:c r="H46" s="20"/>
      <x:c r="I46" s="20"/>
    </x:row>
    <x:row r="47">
      <x:c r="F47" s="20"/>
      <x:c r="G47" s="20"/>
      <x:c r="H47" s="20"/>
      <x:c r="I47" s="20"/>
    </x:row>
    <x:row r="48">
      <x:c r="F48" s="20"/>
      <x:c r="G48" s="20"/>
      <x:c r="H48" s="20"/>
      <x:c r="I48" s="20"/>
    </x:row>
    <x:row r="49">
      <x:c r="F49" s="20"/>
      <x:c r="G49" s="20"/>
      <x:c r="H49" s="20"/>
      <x:c r="I49" s="20"/>
    </x:row>
    <x:row r="50">
      <x:c r="F50" s="20"/>
      <x:c r="G50" s="20"/>
      <x:c r="H50" s="20"/>
      <x:c r="I50" s="20"/>
    </x:row>
    <x:row r="51">
      <x:c r="F51" s="20"/>
      <x:c r="G51" s="20"/>
      <x:c r="H51" s="20"/>
      <x:c r="I51" s="20"/>
    </x:row>
    <x:row r="52">
      <x:c r="F52" s="20"/>
      <x:c r="G52" s="20"/>
      <x:c r="H52" s="20"/>
      <x:c r="I52" s="20"/>
    </x:row>
    <x:row r="53">
      <x:c r="F53" s="20"/>
      <x:c r="G53" s="20"/>
      <x:c r="H53" s="20"/>
      <x:c r="I53" s="20"/>
    </x:row>
    <x:row r="54">
      <x:c r="F54" s="20"/>
      <x:c r="G54" s="20"/>
      <x:c r="H54" s="20"/>
      <x:c r="I54" s="20"/>
    </x:row>
    <x:row r="55">
      <x:c r="F55" s="20"/>
      <x:c r="G55" s="20"/>
      <x:c r="H55" s="20"/>
      <x:c r="I55" s="20"/>
    </x:row>
    <x:row r="56">
      <x:c r="F56" s="20"/>
      <x:c r="G56" s="20"/>
      <x:c r="H56" s="20"/>
      <x:c r="I56" s="20"/>
    </x:row>
    <x:row r="57">
      <x:c r="F57" s="20"/>
      <x:c r="G57" s="20"/>
      <x:c r="H57" s="20"/>
      <x:c r="I57" s="20"/>
    </x:row>
    <x:row r="58">
      <x:c r="F58" s="20"/>
      <x:c r="G58" s="20"/>
      <x:c r="H58" s="20"/>
      <x:c r="I58" s="20"/>
    </x:row>
    <x:row r="59">
      <x:c r="F59" s="20"/>
      <x:c r="G59" s="20"/>
      <x:c r="H59" s="20"/>
      <x:c r="I59" s="20"/>
    </x:row>
    <x:row r="60">
      <x:c r="F60" s="20"/>
      <x:c r="G60" s="20"/>
      <x:c r="H60" s="20"/>
      <x:c r="I60" s="20"/>
    </x:row>
    <x:row r="61">
      <x:c r="F61" s="20"/>
      <x:c r="G61" s="20"/>
      <x:c r="H61" s="20"/>
      <x:c r="I61" s="20"/>
    </x:row>
    <x:row r="62">
      <x:c r="F62" s="20"/>
      <x:c r="G62" s="20"/>
      <x:c r="H62" s="20"/>
      <x:c r="I62" s="20"/>
    </x:row>
    <x:row r="63">
      <x:c r="F63" s="20"/>
      <x:c r="G63" s="20"/>
      <x:c r="H63" s="20"/>
      <x:c r="I63" s="20"/>
    </x:row>
    <x:row r="64">
      <x:c r="F64" s="20"/>
      <x:c r="G64" s="20"/>
      <x:c r="H64" s="20"/>
      <x:c r="I64" s="20"/>
    </x:row>
    <x:row r="65">
      <x:c r="F65" s="20"/>
      <x:c r="G65" s="20"/>
      <x:c r="H65" s="20"/>
      <x:c r="I65" s="20"/>
    </x:row>
    <x:row r="66">
      <x:c r="F66" s="20"/>
      <x:c r="G66" s="20"/>
      <x:c r="H66" s="20"/>
      <x:c r="I66" s="20"/>
    </x:row>
    <x:row r="67">
      <x:c r="F67" s="20"/>
      <x:c r="G67" s="20"/>
      <x:c r="H67" s="20"/>
      <x:c r="I67" s="20"/>
    </x:row>
    <x:row r="68">
      <x:c r="F68" s="20"/>
      <x:c r="G68" s="20"/>
      <x:c r="H68" s="20"/>
      <x:c r="I68" s="20"/>
    </x:row>
    <x:row r="69">
      <x:c r="F69" s="20"/>
      <x:c r="G69" s="20"/>
      <x:c r="H69" s="20"/>
      <x:c r="I69" s="20"/>
    </x:row>
    <x:row r="70">
      <x:c r="F70" s="20"/>
      <x:c r="G70" s="20"/>
      <x:c r="H70" s="20"/>
      <x:c r="I70" s="20"/>
    </x:row>
    <x:row r="71">
      <x:c r="F71" s="20"/>
      <x:c r="G71" s="20"/>
      <x:c r="H71" s="20"/>
      <x:c r="I71" s="20"/>
    </x:row>
    <x:row r="72">
      <x:c r="F72" s="20"/>
      <x:c r="G72" s="20"/>
      <x:c r="H72" s="20"/>
      <x:c r="I72" s="20"/>
    </x:row>
    <x:row r="73">
      <x:c r="F73" s="20"/>
      <x:c r="G73" s="20"/>
      <x:c r="H73" s="20"/>
      <x:c r="I73" s="20"/>
    </x:row>
    <x:row r="74">
      <x:c r="F74" s="20"/>
      <x:c r="G74" s="20"/>
      <x:c r="H74" s="20"/>
      <x:c r="I74" s="20"/>
    </x:row>
    <x:row r="75">
      <x:c r="F75" s="20"/>
      <x:c r="G75" s="20"/>
      <x:c r="H75" s="20"/>
      <x:c r="I75" s="20"/>
    </x:row>
    <x:row r="76">
      <x:c r="F76" s="20"/>
      <x:c r="G76" s="20"/>
      <x:c r="H76" s="20"/>
      <x:c r="I76" s="20"/>
    </x:row>
    <x:row r="77">
      <x:c r="F77" s="20"/>
      <x:c r="G77" s="20"/>
      <x:c r="H77" s="20"/>
      <x:c r="I77" s="20"/>
    </x:row>
    <x:row r="78">
      <x:c r="F78" s="20"/>
      <x:c r="G78" s="20"/>
      <x:c r="H78" s="20"/>
      <x:c r="I78" s="20"/>
    </x:row>
    <x:row r="79">
      <x:c r="F79" s="20"/>
      <x:c r="G79" s="20"/>
      <x:c r="H79" s="20"/>
      <x:c r="I79" s="20"/>
    </x:row>
    <x:row r="80">
      <x:c r="F80" s="20"/>
      <x:c r="G80" s="20"/>
      <x:c r="H80" s="20"/>
      <x:c r="I80" s="20"/>
    </x:row>
    <x:row r="81">
      <x:c r="F81" s="20"/>
      <x:c r="G81" s="20"/>
      <x:c r="H81" s="20"/>
      <x:c r="I81" s="20"/>
    </x:row>
    <x:row r="82">
      <x:c r="F82" s="20"/>
      <x:c r="G82" s="20"/>
      <x:c r="H82" s="20"/>
      <x:c r="I82" s="20"/>
    </x:row>
    <x:row r="83">
      <x:c r="F83" s="20"/>
      <x:c r="G83" s="20"/>
      <x:c r="H83" s="20"/>
      <x:c r="I83" s="20"/>
    </x:row>
    <x:row r="84">
      <x:c r="F84" s="20"/>
      <x:c r="G84" s="20"/>
      <x:c r="H84" s="20"/>
      <x:c r="I84" s="20"/>
    </x:row>
    <x:row r="85">
      <x:c r="F85" s="20"/>
      <x:c r="G85" s="20"/>
      <x:c r="H85" s="20"/>
      <x:c r="I85" s="20"/>
    </x:row>
    <x:row r="86">
      <x:c r="F86" s="20"/>
      <x:c r="G86" s="20"/>
      <x:c r="H86" s="20"/>
      <x:c r="I86" s="20"/>
    </x:row>
    <x:row r="87">
      <x:c r="F87" s="20"/>
      <x:c r="G87" s="20"/>
      <x:c r="H87" s="20"/>
      <x:c r="I87" s="20"/>
    </x:row>
    <x:row r="88">
      <x:c r="F88" s="20"/>
      <x:c r="G88" s="20"/>
      <x:c r="H88" s="20"/>
      <x:c r="I88" s="20"/>
    </x:row>
    <x:row r="89">
      <x:c r="F89" s="20"/>
      <x:c r="G89" s="20"/>
      <x:c r="H89" s="20"/>
      <x:c r="I89" s="20"/>
    </x:row>
    <x:row r="90">
      <x:c r="F90" s="20"/>
      <x:c r="G90" s="20"/>
      <x:c r="H90" s="20"/>
      <x:c r="I90" s="20"/>
    </x:row>
    <x:row r="91">
      <x:c r="F91" s="20"/>
      <x:c r="G91" s="20"/>
      <x:c r="H91" s="20"/>
      <x:c r="I91" s="20"/>
    </x:row>
    <x:row r="92">
      <x:c r="F92" s="20"/>
      <x:c r="G92" s="20"/>
      <x:c r="H92" s="20"/>
      <x:c r="I92" s="20"/>
    </x:row>
    <x:row r="93">
      <x:c r="F93" s="20"/>
      <x:c r="G93" s="20"/>
      <x:c r="H93" s="20"/>
      <x:c r="I93" s="20"/>
    </x:row>
    <x:row r="94">
      <x:c r="F94" s="20"/>
      <x:c r="G94" s="20"/>
      <x:c r="H94" s="20"/>
      <x:c r="I94" s="20"/>
    </x:row>
    <x:row r="95">
      <x:c r="F95" s="20"/>
      <x:c r="G95" s="20"/>
      <x:c r="H95" s="20"/>
      <x:c r="I95" s="20"/>
    </x:row>
    <x:row r="96">
      <x:c r="F96" s="20"/>
      <x:c r="G96" s="20"/>
      <x:c r="H96" s="20"/>
      <x:c r="I96" s="20"/>
    </x:row>
    <x:row r="97">
      <x:c r="F97" s="20"/>
      <x:c r="G97" s="20"/>
      <x:c r="H97" s="20"/>
      <x:c r="I97" s="20"/>
    </x:row>
    <x:row r="98">
      <x:c r="F98" s="20"/>
      <x:c r="G98" s="20"/>
      <x:c r="H98" s="20"/>
      <x:c r="I98" s="20"/>
    </x:row>
    <x:row r="99">
      <x:c r="F99" s="20"/>
      <x:c r="G99" s="20"/>
      <x:c r="H99" s="20"/>
      <x:c r="I99" s="20"/>
    </x:row>
    <x:row r="100">
      <x:c r="F100" s="20"/>
      <x:c r="G100" s="20"/>
      <x:c r="H100" s="20"/>
      <x:c r="I100" s="20"/>
    </x:row>
  </x:sheetData>
  <x:conditionalFormatting sqref="H2:H16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1412881ea40457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28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4" t="str">
        <x:v>comparison_id</x:v>
      </x:c>
      <x:c r="B1" s="4" t="str">
        <x:v>poll_id</x:v>
      </x:c>
      <x:c r="C1" s="4" t="str">
        <x:v>election_id</x:v>
      </x:c>
      <x:c r="D1" s="4" t="str">
        <x:v>party_or_category</x:v>
      </x:c>
      <x:c r="E1" s="4" t="str">
        <x:v>poll_share</x:v>
      </x:c>
      <x:c r="F1" s="4" t="str">
        <x:v>actual_share</x:v>
      </x:c>
      <x:c r="G1" s="4" t="str">
        <x:v>signed_error</x:v>
      </x:c>
      <x:c r="H1" s="4" t="str">
        <x:v>absolute_error</x:v>
      </x:c>
      <x:c r="I1" s="4" t="str">
        <x:v>squared_error</x:v>
      </x:c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SUPP_C001</x:v>
      </x:c>
      <x:c r="B2" t="str">
        <x:v>SUPP_P001</x:v>
      </x:c>
      <x:c r="C2" t="str">
        <x:v>DE_NW_2022</x:v>
      </x:c>
      <x:c r="D2" t="str">
        <x:v>CDU</x:v>
      </x:c>
      <x:c r="E2" s="20" t="n">
        <x:v>32</x:v>
      </x:c>
      <x:c r="F2" s="20" t="n">
        <x:v>35.7</x:v>
      </x:c>
      <x:c r="G2" s="20" t="n">
        <x:f>E2-F2</x:f>
        <x:v>-3.700000000000003</x:v>
      </x:c>
      <x:c r="H2" s="20" t="n">
        <x:f>ABS(G2)</x:f>
        <x:v>3.700000000000003</x:v>
      </x:c>
      <x:c r="I2" s="20" t="n">
        <x:f>G2^2</x:f>
        <x:v>13.69000000000002</x:v>
      </x:c>
    </x:row>
    <x:row r="3">
      <x:c r="A3" t="str">
        <x:v>SUPP_C001</x:v>
      </x:c>
      <x:c r="B3" t="str">
        <x:v>SUPP_P001</x:v>
      </x:c>
      <x:c r="C3" t="str">
        <x:v>DE_NW_2022</x:v>
      </x:c>
      <x:c r="D3" t="str">
        <x:v>SPD</x:v>
      </x:c>
      <x:c r="E3" s="20" t="n">
        <x:v>28</x:v>
      </x:c>
      <x:c r="F3" s="20" t="n">
        <x:v>26.7</x:v>
      </x:c>
      <x:c r="G3" s="20" t="n">
        <x:f>E3-F3</x:f>
        <x:v>1.3000000000000007</x:v>
      </x:c>
      <x:c r="H3" s="20" t="n">
        <x:f>ABS(G3)</x:f>
        <x:v>1.3000000000000007</x:v>
      </x:c>
      <x:c r="I3" s="20" t="n">
        <x:f>G3^2</x:f>
        <x:v>1.690000000000002</x:v>
      </x:c>
    </x:row>
    <x:row r="4">
      <x:c r="A4" t="str">
        <x:v>SUPP_C001</x:v>
      </x:c>
      <x:c r="B4" t="str">
        <x:v>SUPP_P001</x:v>
      </x:c>
      <x:c r="C4" t="str">
        <x:v>DE_NW_2022</x:v>
      </x:c>
      <x:c r="D4" t="str">
        <x:v>GRÜNE</x:v>
      </x:c>
      <x:c r="E4" s="20" t="n">
        <x:v>17</x:v>
      </x:c>
      <x:c r="F4" s="20" t="n">
        <x:v>18.2</x:v>
      </x:c>
      <x:c r="G4" s="20" t="n">
        <x:f>E4-F4</x:f>
        <x:v>-1.1999999999999993</x:v>
      </x:c>
      <x:c r="H4" s="20" t="n">
        <x:f>ABS(G4)</x:f>
        <x:v>1.1999999999999993</x:v>
      </x:c>
      <x:c r="I4" s="20" t="n">
        <x:f>G4^2</x:f>
        <x:v>1.4399999999999984</x:v>
      </x:c>
    </x:row>
    <x:row r="5">
      <x:c r="A5" t="str">
        <x:v>SUPP_C001</x:v>
      </x:c>
      <x:c r="B5" t="str">
        <x:v>SUPP_P001</x:v>
      </x:c>
      <x:c r="C5" t="str">
        <x:v>DE_NW_2022</x:v>
      </x:c>
      <x:c r="D5" t="str">
        <x:v>FDP</x:v>
      </x:c>
      <x:c r="E5" s="20" t="n">
        <x:v>7</x:v>
      </x:c>
      <x:c r="F5" s="20" t="n">
        <x:v>5.9</x:v>
      </x:c>
      <x:c r="G5" s="20" t="n">
        <x:f>E5-F5</x:f>
        <x:v>1.0999999999999996</x:v>
      </x:c>
      <x:c r="H5" s="20" t="n">
        <x:f>ABS(G5)</x:f>
        <x:v>1.0999999999999996</x:v>
      </x:c>
      <x:c r="I5" s="20" t="n">
        <x:f>G5^2</x:f>
        <x:v>1.2099999999999993</x:v>
      </x:c>
    </x:row>
    <x:row r="6">
      <x:c r="A6" t="str">
        <x:v>SUPP_C001</x:v>
      </x:c>
      <x:c r="B6" t="str">
        <x:v>SUPP_P001</x:v>
      </x:c>
      <x:c r="C6" t="str">
        <x:v>DE_NW_2022</x:v>
      </x:c>
      <x:c r="D6" t="str">
        <x:v>LINKE</x:v>
      </x:c>
      <x:c r="E6" s="20" t="n">
        <x:v>3</x:v>
      </x:c>
      <x:c r="F6" s="20" t="n">
        <x:v>2.1</x:v>
      </x:c>
      <x:c r="G6" s="20" t="n">
        <x:f>E6-F6</x:f>
        <x:v>0.8999999999999999</x:v>
      </x:c>
      <x:c r="H6" s="20" t="n">
        <x:f>ABS(G6)</x:f>
        <x:v>0.8999999999999999</x:v>
      </x:c>
      <x:c r="I6" s="20" t="n">
        <x:f>G6^2</x:f>
        <x:v>0.8099999999999998</x:v>
      </x:c>
    </x:row>
    <x:row r="7">
      <x:c r="A7" t="str">
        <x:v>SUPP_C001</x:v>
      </x:c>
      <x:c r="B7" t="str">
        <x:v>SUPP_P001</x:v>
      </x:c>
      <x:c r="C7" t="str">
        <x:v>DE_NW_2022</x:v>
      </x:c>
      <x:c r="D7" t="str">
        <x:v>AfD</x:v>
      </x:c>
      <x:c r="E7" s="20" t="n">
        <x:v>6</x:v>
      </x:c>
      <x:c r="F7" s="20" t="n">
        <x:v>5.4</x:v>
      </x:c>
      <x:c r="G7" s="20" t="n">
        <x:f>E7-F7</x:f>
        <x:v>0.5999999999999996</x:v>
      </x:c>
      <x:c r="H7" s="20" t="n">
        <x:f>ABS(G7)</x:f>
        <x:v>0.5999999999999996</x:v>
      </x:c>
      <x:c r="I7" s="20" t="n">
        <x:f>G7^2</x:f>
        <x:v>0.3599999999999996</x:v>
      </x:c>
    </x:row>
    <x:row r="8">
      <x:c r="A8" t="str">
        <x:v>SUPP_C001</x:v>
      </x:c>
      <x:c r="B8" t="str">
        <x:v>SUPP_P001</x:v>
      </x:c>
      <x:c r="C8" t="str">
        <x:v>DE_NW_2022</x:v>
      </x:c>
      <x:c r="D8" t="str">
        <x:v>Sonstige</x:v>
      </x:c>
      <x:c r="E8" s="20" t="n">
        <x:v>7</x:v>
      </x:c>
      <x:c r="F8" s="20" t="n">
        <x:v>6.1</x:v>
      </x:c>
      <x:c r="G8" s="20" t="n">
        <x:f>E8-F8</x:f>
        <x:v>0.9000000000000004</x:v>
      </x:c>
      <x:c r="H8" s="20" t="n">
        <x:f>ABS(G8)</x:f>
        <x:v>0.9000000000000004</x:v>
      </x:c>
      <x:c r="I8" s="20" t="n">
        <x:f>G8^2</x:f>
        <x:v>0.8100000000000006</x:v>
      </x:c>
    </x:row>
    <x:row r="9">
      <x:c r="A9" t="str">
        <x:v>SUPP_C002</x:v>
      </x:c>
      <x:c r="B9" t="str">
        <x:v>SUPP_P002</x:v>
      </x:c>
      <x:c r="C9" t="str">
        <x:v>DE_NW_2022</x:v>
      </x:c>
      <x:c r="D9" t="str">
        <x:v>CDU</x:v>
      </x:c>
      <x:c r="E9" s="20" t="n">
        <x:v>32</x:v>
      </x:c>
      <x:c r="F9" s="20" t="n">
        <x:v>35.7</x:v>
      </x:c>
      <x:c r="G9" s="20" t="n">
        <x:f>E9-F9</x:f>
        <x:v>-3.700000000000003</x:v>
      </x:c>
      <x:c r="H9" s="20" t="n">
        <x:f>ABS(G9)</x:f>
        <x:v>3.700000000000003</x:v>
      </x:c>
      <x:c r="I9" s="20" t="n">
        <x:f>G9^2</x:f>
        <x:v>13.69000000000002</x:v>
      </x:c>
    </x:row>
    <x:row r="10">
      <x:c r="A10" t="str">
        <x:v>SUPP_C002</x:v>
      </x:c>
      <x:c r="B10" t="str">
        <x:v>SUPP_P002</x:v>
      </x:c>
      <x:c r="C10" t="str">
        <x:v>DE_NW_2022</x:v>
      </x:c>
      <x:c r="D10" t="str">
        <x:v>SPD</x:v>
      </x:c>
      <x:c r="E10" s="20" t="n">
        <x:v>29</x:v>
      </x:c>
      <x:c r="F10" s="20" t="n">
        <x:v>26.7</x:v>
      </x:c>
      <x:c r="G10" s="20" t="n">
        <x:f>E10-F10</x:f>
        <x:v>2.3000000000000007</x:v>
      </x:c>
      <x:c r="H10" s="20" t="n">
        <x:f>ABS(G10)</x:f>
        <x:v>2.3000000000000007</x:v>
      </x:c>
      <x:c r="I10" s="20" t="n">
        <x:f>G10^2</x:f>
        <x:v>5.290000000000004</x:v>
      </x:c>
    </x:row>
    <x:row r="11">
      <x:c r="A11" t="str">
        <x:v>SUPP_C002</x:v>
      </x:c>
      <x:c r="B11" t="str">
        <x:v>SUPP_P002</x:v>
      </x:c>
      <x:c r="C11" t="str">
        <x:v>DE_NW_2022</x:v>
      </x:c>
      <x:c r="D11" t="str">
        <x:v>GRÜNE</x:v>
      </x:c>
      <x:c r="E11" s="20" t="n">
        <x:v>17</x:v>
      </x:c>
      <x:c r="F11" s="20" t="n">
        <x:v>18.2</x:v>
      </x:c>
      <x:c r="G11" s="20" t="n">
        <x:f>E11-F11</x:f>
        <x:v>-1.1999999999999993</x:v>
      </x:c>
      <x:c r="H11" s="20" t="n">
        <x:f>ABS(G11)</x:f>
        <x:v>1.1999999999999993</x:v>
      </x:c>
      <x:c r="I11" s="20" t="n">
        <x:f>G11^2</x:f>
        <x:v>1.4399999999999984</x:v>
      </x:c>
    </x:row>
    <x:row r="12">
      <x:c r="A12" t="str">
        <x:v>SUPP_C002</x:v>
      </x:c>
      <x:c r="B12" t="str">
        <x:v>SUPP_P002</x:v>
      </x:c>
      <x:c r="C12" t="str">
        <x:v>DE_NW_2022</x:v>
      </x:c>
      <x:c r="D12" t="str">
        <x:v>FDP</x:v>
      </x:c>
      <x:c r="E12" s="20" t="n">
        <x:v>6</x:v>
      </x:c>
      <x:c r="F12" s="20" t="n">
        <x:v>5.9</x:v>
      </x:c>
      <x:c r="G12" s="20" t="n">
        <x:f>E12-F12</x:f>
        <x:v>0.09999999999999964</x:v>
      </x:c>
      <x:c r="H12" s="20" t="n">
        <x:f>ABS(G12)</x:f>
        <x:v>0.09999999999999964</x:v>
      </x:c>
      <x:c r="I12" s="20" t="n">
        <x:f>G12^2</x:f>
        <x:v>0.009999999999999929</x:v>
      </x:c>
    </x:row>
    <x:row r="13">
      <x:c r="A13" t="str">
        <x:v>SUPP_C002</x:v>
      </x:c>
      <x:c r="B13" t="str">
        <x:v>SUPP_P002</x:v>
      </x:c>
      <x:c r="C13" t="str">
        <x:v>DE_NW_2022</x:v>
      </x:c>
      <x:c r="D13" t="str">
        <x:v>LINKE</x:v>
      </x:c>
      <x:c r="E13" s="20" t="n">
        <x:v>3</x:v>
      </x:c>
      <x:c r="F13" s="20" t="n">
        <x:v>2.1</x:v>
      </x:c>
      <x:c r="G13" s="20" t="n">
        <x:f>E13-F13</x:f>
        <x:v>0.8999999999999999</x:v>
      </x:c>
      <x:c r="H13" s="20" t="n">
        <x:f>ABS(G13)</x:f>
        <x:v>0.8999999999999999</x:v>
      </x:c>
      <x:c r="I13" s="20" t="n">
        <x:f>G13^2</x:f>
        <x:v>0.8099999999999998</x:v>
      </x:c>
    </x:row>
    <x:row r="14">
      <x:c r="A14" t="str">
        <x:v>SUPP_C002</x:v>
      </x:c>
      <x:c r="B14" t="str">
        <x:v>SUPP_P002</x:v>
      </x:c>
      <x:c r="C14" t="str">
        <x:v>DE_NW_2022</x:v>
      </x:c>
      <x:c r="D14" t="str">
        <x:v>AfD</x:v>
      </x:c>
      <x:c r="E14" s="20" t="n">
        <x:v>7</x:v>
      </x:c>
      <x:c r="F14" s="20" t="n">
        <x:v>5.4</x:v>
      </x:c>
      <x:c r="G14" s="20" t="n">
        <x:f>E14-F14</x:f>
        <x:v>1.5999999999999996</x:v>
      </x:c>
      <x:c r="H14" s="20" t="n">
        <x:f>ABS(G14)</x:f>
        <x:v>1.5999999999999996</x:v>
      </x:c>
      <x:c r="I14" s="20" t="n">
        <x:f>G14^2</x:f>
        <x:v>2.5599999999999987</x:v>
      </x:c>
    </x:row>
    <x:row r="15">
      <x:c r="A15" t="str">
        <x:v>SUPP_C002</x:v>
      </x:c>
      <x:c r="B15" t="str">
        <x:v>SUPP_P002</x:v>
      </x:c>
      <x:c r="C15" t="str">
        <x:v>DE_NW_2022</x:v>
      </x:c>
      <x:c r="D15" t="str">
        <x:v>Sonstige</x:v>
      </x:c>
      <x:c r="E15" s="20" t="n">
        <x:v>6</x:v>
      </x:c>
      <x:c r="F15" s="20" t="n">
        <x:v>6.1</x:v>
      </x:c>
      <x:c r="G15" s="20" t="n">
        <x:f>E15-F15</x:f>
        <x:v>-0.09999999999999964</x:v>
      </x:c>
      <x:c r="H15" s="20" t="n">
        <x:f>ABS(G15)</x:f>
        <x:v>0.09999999999999964</x:v>
      </x:c>
      <x:c r="I15" s="20" t="n">
        <x:f>G15^2</x:f>
        <x:v>0.009999999999999929</x:v>
      </x:c>
    </x:row>
    <x:row r="16">
      <x:c r="A16" t="str">
        <x:v>SUPP_C003</x:v>
      </x:c>
      <x:c r="B16" t="str">
        <x:v>SUPP_P003</x:v>
      </x:c>
      <x:c r="C16" t="str">
        <x:v>DE_NW_2022</x:v>
      </x:c>
      <x:c r="D16" t="str">
        <x:v>CDU</x:v>
      </x:c>
      <x:c r="E16" s="20" t="n">
        <x:v>32</x:v>
      </x:c>
      <x:c r="F16" s="20" t="n">
        <x:v>35.7</x:v>
      </x:c>
      <x:c r="G16" s="20" t="n">
        <x:f>E16-F16</x:f>
        <x:v>-3.700000000000003</x:v>
      </x:c>
      <x:c r="H16" s="20" t="n">
        <x:f>ABS(G16)</x:f>
        <x:v>3.700000000000003</x:v>
      </x:c>
      <x:c r="I16" s="20" t="n">
        <x:f>G16^2</x:f>
        <x:v>13.69000000000002</x:v>
      </x:c>
    </x:row>
    <x:row r="17">
      <x:c r="A17" t="str">
        <x:v>SUPP_C003</x:v>
      </x:c>
      <x:c r="B17" t="str">
        <x:v>SUPP_P003</x:v>
      </x:c>
      <x:c r="C17" t="str">
        <x:v>DE_NW_2022</x:v>
      </x:c>
      <x:c r="D17" t="str">
        <x:v>SPD</x:v>
      </x:c>
      <x:c r="E17" s="20" t="n">
        <x:v>29</x:v>
      </x:c>
      <x:c r="F17" s="20" t="n">
        <x:v>26.7</x:v>
      </x:c>
      <x:c r="G17" s="20" t="n">
        <x:f>E17-F17</x:f>
        <x:v>2.3000000000000007</x:v>
      </x:c>
      <x:c r="H17" s="20" t="n">
        <x:f>ABS(G17)</x:f>
        <x:v>2.3000000000000007</x:v>
      </x:c>
      <x:c r="I17" s="20" t="n">
        <x:f>G17^2</x:f>
        <x:v>5.290000000000004</x:v>
      </x:c>
    </x:row>
    <x:row r="18">
      <x:c r="A18" t="str">
        <x:v>SUPP_C003</x:v>
      </x:c>
      <x:c r="B18" t="str">
        <x:v>SUPP_P003</x:v>
      </x:c>
      <x:c r="C18" t="str">
        <x:v>DE_NW_2022</x:v>
      </x:c>
      <x:c r="D18" t="str">
        <x:v>GRÜNE</x:v>
      </x:c>
      <x:c r="E18" s="20" t="n">
        <x:v>16</x:v>
      </x:c>
      <x:c r="F18" s="20" t="n">
        <x:v>18.2</x:v>
      </x:c>
      <x:c r="G18" s="20" t="n">
        <x:f>E18-F18</x:f>
        <x:v>-2.1999999999999993</x:v>
      </x:c>
      <x:c r="H18" s="20" t="n">
        <x:f>ABS(G18)</x:f>
        <x:v>2.1999999999999993</x:v>
      </x:c>
      <x:c r="I18" s="20" t="n">
        <x:f>G18^2</x:f>
        <x:v>4.839999999999997</x:v>
      </x:c>
    </x:row>
    <x:row r="19">
      <x:c r="A19" t="str">
        <x:v>SUPP_C003</x:v>
      </x:c>
      <x:c r="B19" t="str">
        <x:v>SUPP_P003</x:v>
      </x:c>
      <x:c r="C19" t="str">
        <x:v>DE_NW_2022</x:v>
      </x:c>
      <x:c r="D19" t="str">
        <x:v>FDP</x:v>
      </x:c>
      <x:c r="E19" s="20" t="n">
        <x:v>7</x:v>
      </x:c>
      <x:c r="F19" s="20" t="n">
        <x:v>5.9</x:v>
      </x:c>
      <x:c r="G19" s="20" t="n">
        <x:f>E19-F19</x:f>
        <x:v>1.0999999999999996</x:v>
      </x:c>
      <x:c r="H19" s="20" t="n">
        <x:f>ABS(G19)</x:f>
        <x:v>1.0999999999999996</x:v>
      </x:c>
      <x:c r="I19" s="20" t="n">
        <x:f>G19^2</x:f>
        <x:v>1.2099999999999993</x:v>
      </x:c>
    </x:row>
    <x:row r="20">
      <x:c r="A20" t="str">
        <x:v>SUPP_C003</x:v>
      </x:c>
      <x:c r="B20" t="str">
        <x:v>SUPP_P003</x:v>
      </x:c>
      <x:c r="C20" t="str">
        <x:v>DE_NW_2022</x:v>
      </x:c>
      <x:c r="D20" t="str">
        <x:v>LINKE</x:v>
      </x:c>
      <x:c r="E20" s="20" t="n">
        <x:v>3</x:v>
      </x:c>
      <x:c r="F20" s="20" t="n">
        <x:v>2.1</x:v>
      </x:c>
      <x:c r="G20" s="20" t="n">
        <x:f>E20-F20</x:f>
        <x:v>0.8999999999999999</x:v>
      </x:c>
      <x:c r="H20" s="20" t="n">
        <x:f>ABS(G20)</x:f>
        <x:v>0.8999999999999999</x:v>
      </x:c>
      <x:c r="I20" s="20" t="n">
        <x:f>G20^2</x:f>
        <x:v>0.8099999999999998</x:v>
      </x:c>
    </x:row>
    <x:row r="21">
      <x:c r="A21" t="str">
        <x:v>SUPP_C003</x:v>
      </x:c>
      <x:c r="B21" t="str">
        <x:v>SUPP_P003</x:v>
      </x:c>
      <x:c r="C21" t="str">
        <x:v>DE_NW_2022</x:v>
      </x:c>
      <x:c r="D21" t="str">
        <x:v>AfD</x:v>
      </x:c>
      <x:c r="E21" s="20" t="n">
        <x:v>7</x:v>
      </x:c>
      <x:c r="F21" s="20" t="n">
        <x:v>5.4</x:v>
      </x:c>
      <x:c r="G21" s="20" t="n">
        <x:f>E21-F21</x:f>
        <x:v>1.5999999999999996</x:v>
      </x:c>
      <x:c r="H21" s="20" t="n">
        <x:f>ABS(G21)</x:f>
        <x:v>1.5999999999999996</x:v>
      </x:c>
      <x:c r="I21" s="20" t="n">
        <x:f>G21^2</x:f>
        <x:v>2.5599999999999987</x:v>
      </x:c>
    </x:row>
    <x:row r="22">
      <x:c r="A22" t="str">
        <x:v>SUPP_C003</x:v>
      </x:c>
      <x:c r="B22" t="str">
        <x:v>SUPP_P003</x:v>
      </x:c>
      <x:c r="C22" t="str">
        <x:v>DE_NW_2022</x:v>
      </x:c>
      <x:c r="D22" t="str">
        <x:v>Sonstige</x:v>
      </x:c>
      <x:c r="E22" s="20" t="n">
        <x:v>6</x:v>
      </x:c>
      <x:c r="F22" s="20" t="n">
        <x:v>6.1</x:v>
      </x:c>
      <x:c r="G22" s="20" t="n">
        <x:f>E22-F22</x:f>
        <x:v>-0.09999999999999964</x:v>
      </x:c>
      <x:c r="H22" s="20" t="n">
        <x:f>ABS(G22)</x:f>
        <x:v>0.09999999999999964</x:v>
      </x:c>
      <x:c r="I22" s="20" t="n">
        <x:f>G22^2</x:f>
        <x:v>0.009999999999999929</x:v>
      </x:c>
    </x:row>
    <x:row r="23">
      <x:c r="A23" t="str">
        <x:v>SUPP_C004</x:v>
      </x:c>
      <x:c r="B23" t="str">
        <x:v>SUPP_P004</x:v>
      </x:c>
      <x:c r="C23" t="str">
        <x:v>DE_NW_2022</x:v>
      </x:c>
      <x:c r="D23" t="str">
        <x:v>CDU</x:v>
      </x:c>
      <x:c r="E23" s="20" t="n">
        <x:v>32</x:v>
      </x:c>
      <x:c r="F23" s="20" t="n">
        <x:v>35.7</x:v>
      </x:c>
      <x:c r="G23" s="20" t="n">
        <x:f>E23-F23</x:f>
        <x:v>-3.700000000000003</x:v>
      </x:c>
      <x:c r="H23" s="20" t="n">
        <x:f>ABS(G23)</x:f>
        <x:v>3.700000000000003</x:v>
      </x:c>
      <x:c r="I23" s="20" t="n">
        <x:f>G23^2</x:f>
        <x:v>13.69000000000002</x:v>
      </x:c>
    </x:row>
    <x:row r="24">
      <x:c r="A24" t="str">
        <x:v>SUPP_C004</x:v>
      </x:c>
      <x:c r="B24" t="str">
        <x:v>SUPP_P004</x:v>
      </x:c>
      <x:c r="C24" t="str">
        <x:v>DE_NW_2022</x:v>
      </x:c>
      <x:c r="D24" t="str">
        <x:v>SPD</x:v>
      </x:c>
      <x:c r="E24" s="20" t="n">
        <x:v>28</x:v>
      </x:c>
      <x:c r="F24" s="20" t="n">
        <x:v>26.7</x:v>
      </x:c>
      <x:c r="G24" s="20" t="n">
        <x:f>E24-F24</x:f>
        <x:v>1.3000000000000007</x:v>
      </x:c>
      <x:c r="H24" s="20" t="n">
        <x:f>ABS(G24)</x:f>
        <x:v>1.3000000000000007</x:v>
      </x:c>
      <x:c r="I24" s="20" t="n">
        <x:f>G24^2</x:f>
        <x:v>1.690000000000002</x:v>
      </x:c>
    </x:row>
    <x:row r="25">
      <x:c r="A25" t="str">
        <x:v>SUPP_C004</x:v>
      </x:c>
      <x:c r="B25" t="str">
        <x:v>SUPP_P004</x:v>
      </x:c>
      <x:c r="C25" t="str">
        <x:v>DE_NW_2022</x:v>
      </x:c>
      <x:c r="D25" t="str">
        <x:v>GRÜNE</x:v>
      </x:c>
      <x:c r="E25" s="20" t="n">
        <x:v>16</x:v>
      </x:c>
      <x:c r="F25" s="20" t="n">
        <x:v>18.2</x:v>
      </x:c>
      <x:c r="G25" s="20" t="n">
        <x:f>E25-F25</x:f>
        <x:v>-2.1999999999999993</x:v>
      </x:c>
      <x:c r="H25" s="20" t="n">
        <x:f>ABS(G25)</x:f>
        <x:v>2.1999999999999993</x:v>
      </x:c>
      <x:c r="I25" s="20" t="n">
        <x:f>G25^2</x:f>
        <x:v>4.839999999999997</x:v>
      </x:c>
    </x:row>
    <x:row r="26">
      <x:c r="A26" t="str">
        <x:v>SUPP_C004</x:v>
      </x:c>
      <x:c r="B26" t="str">
        <x:v>SUPP_P004</x:v>
      </x:c>
      <x:c r="C26" t="str">
        <x:v>DE_NW_2022</x:v>
      </x:c>
      <x:c r="D26" t="str">
        <x:v>FDP</x:v>
      </x:c>
      <x:c r="E26" s="20" t="n">
        <x:v>8</x:v>
      </x:c>
      <x:c r="F26" s="20" t="n">
        <x:v>5.9</x:v>
      </x:c>
      <x:c r="G26" s="20" t="n">
        <x:f>E26-F26</x:f>
        <x:v>2.0999999999999996</x:v>
      </x:c>
      <x:c r="H26" s="20" t="n">
        <x:f>ABS(G26)</x:f>
        <x:v>2.0999999999999996</x:v>
      </x:c>
      <x:c r="I26" s="20" t="n">
        <x:f>G26^2</x:f>
        <x:v>4.409999999999998</x:v>
      </x:c>
    </x:row>
    <x:row r="27">
      <x:c r="A27" t="str">
        <x:v>SUPP_C004</x:v>
      </x:c>
      <x:c r="B27" t="str">
        <x:v>SUPP_P004</x:v>
      </x:c>
      <x:c r="C27" t="str">
        <x:v>DE_NW_2022</x:v>
      </x:c>
      <x:c r="D27" t="str">
        <x:v>LINKE</x:v>
      </x:c>
      <x:c r="E27" s="20" t="n">
        <x:v>3</x:v>
      </x:c>
      <x:c r="F27" s="20" t="n">
        <x:v>2.1</x:v>
      </x:c>
      <x:c r="G27" s="20" t="n">
        <x:f>E27-F27</x:f>
        <x:v>0.8999999999999999</x:v>
      </x:c>
      <x:c r="H27" s="20" t="n">
        <x:f>ABS(G27)</x:f>
        <x:v>0.8999999999999999</x:v>
      </x:c>
      <x:c r="I27" s="20" t="n">
        <x:f>G27^2</x:f>
        <x:v>0.8099999999999998</x:v>
      </x:c>
    </x:row>
    <x:row r="28">
      <x:c r="A28" t="str">
        <x:v>SUPP_C004</x:v>
      </x:c>
      <x:c r="B28" t="str">
        <x:v>SUPP_P004</x:v>
      </x:c>
      <x:c r="C28" t="str">
        <x:v>DE_NW_2022</x:v>
      </x:c>
      <x:c r="D28" t="str">
        <x:v>AfD</x:v>
      </x:c>
      <x:c r="E28" s="20" t="n">
        <x:v>7</x:v>
      </x:c>
      <x:c r="F28" s="20" t="n">
        <x:v>5.4</x:v>
      </x:c>
      <x:c r="G28" s="20" t="n">
        <x:f>E28-F28</x:f>
        <x:v>1.5999999999999996</x:v>
      </x:c>
      <x:c r="H28" s="20" t="n">
        <x:f>ABS(G28)</x:f>
        <x:v>1.5999999999999996</x:v>
      </x:c>
      <x:c r="I28" s="20" t="n">
        <x:f>G28^2</x:f>
        <x:v>2.5599999999999987</x:v>
      </x:c>
    </x:row>
    <x:row r="29">
      <x:c r="A29" t="str">
        <x:v>SUPP_C004</x:v>
      </x:c>
      <x:c r="B29" t="str">
        <x:v>SUPP_P004</x:v>
      </x:c>
      <x:c r="C29" t="str">
        <x:v>DE_NW_2022</x:v>
      </x:c>
      <x:c r="D29" t="str">
        <x:v>Sonstige</x:v>
      </x:c>
      <x:c r="E29" s="20" t="n">
        <x:v>6</x:v>
      </x:c>
      <x:c r="F29" s="20" t="n">
        <x:v>6.1</x:v>
      </x:c>
      <x:c r="G29" s="20" t="n">
        <x:f>E29-F29</x:f>
        <x:v>-0.09999999999999964</x:v>
      </x:c>
      <x:c r="H29" s="20" t="n">
        <x:f>ABS(G29)</x:f>
        <x:v>0.09999999999999964</x:v>
      </x:c>
      <x:c r="I29" s="20" t="n">
        <x:f>G29^2</x:f>
        <x:v>0.009999999999999929</x:v>
      </x:c>
    </x:row>
    <x:row r="30">
      <x:c r="A30" t="str">
        <x:v>SUPP_C005</x:v>
      </x:c>
      <x:c r="B30" t="str">
        <x:v>SUPP_P005</x:v>
      </x:c>
      <x:c r="C30" t="str">
        <x:v>DE_NW_2022</x:v>
      </x:c>
      <x:c r="D30" t="str">
        <x:v>CDU</x:v>
      </x:c>
      <x:c r="E30" s="20" t="n">
        <x:v>30</x:v>
      </x:c>
      <x:c r="F30" s="20" t="n">
        <x:v>35.7</x:v>
      </x:c>
      <x:c r="G30" s="20" t="n">
        <x:f>E30-F30</x:f>
        <x:v>-5.700000000000003</x:v>
      </x:c>
      <x:c r="H30" s="20" t="n">
        <x:f>ABS(G30)</x:f>
        <x:v>5.700000000000003</x:v>
      </x:c>
      <x:c r="I30" s="20" t="n">
        <x:f>G30^2</x:f>
        <x:v>32.49000000000003</x:v>
      </x:c>
    </x:row>
    <x:row r="31">
      <x:c r="A31" t="str">
        <x:v>SUPP_C005</x:v>
      </x:c>
      <x:c r="B31" t="str">
        <x:v>SUPP_P005</x:v>
      </x:c>
      <x:c r="C31" t="str">
        <x:v>DE_NW_2022</x:v>
      </x:c>
      <x:c r="D31" t="str">
        <x:v>SPD</x:v>
      </x:c>
      <x:c r="E31" s="20" t="n">
        <x:v>28</x:v>
      </x:c>
      <x:c r="F31" s="20" t="n">
        <x:v>26.7</x:v>
      </x:c>
      <x:c r="G31" s="20" t="n">
        <x:f>E31-F31</x:f>
        <x:v>1.3000000000000007</x:v>
      </x:c>
      <x:c r="H31" s="20" t="n">
        <x:f>ABS(G31)</x:f>
        <x:v>1.3000000000000007</x:v>
      </x:c>
      <x:c r="I31" s="20" t="n">
        <x:f>G31^2</x:f>
        <x:v>1.690000000000002</x:v>
      </x:c>
    </x:row>
    <x:row r="32">
      <x:c r="A32" t="str">
        <x:v>SUPP_C005</x:v>
      </x:c>
      <x:c r="B32" t="str">
        <x:v>SUPP_P005</x:v>
      </x:c>
      <x:c r="C32" t="str">
        <x:v>DE_NW_2022</x:v>
      </x:c>
      <x:c r="D32" t="str">
        <x:v>GRÜNE</x:v>
      </x:c>
      <x:c r="E32" s="20" t="n">
        <x:v>16</x:v>
      </x:c>
      <x:c r="F32" s="20" t="n">
        <x:v>18.2</x:v>
      </x:c>
      <x:c r="G32" s="20" t="n">
        <x:f>E32-F32</x:f>
        <x:v>-2.1999999999999993</x:v>
      </x:c>
      <x:c r="H32" s="20" t="n">
        <x:f>ABS(G32)</x:f>
        <x:v>2.1999999999999993</x:v>
      </x:c>
      <x:c r="I32" s="20" t="n">
        <x:f>G32^2</x:f>
        <x:v>4.839999999999997</x:v>
      </x:c>
    </x:row>
    <x:row r="33">
      <x:c r="A33" t="str">
        <x:v>SUPP_C005</x:v>
      </x:c>
      <x:c r="B33" t="str">
        <x:v>SUPP_P005</x:v>
      </x:c>
      <x:c r="C33" t="str">
        <x:v>DE_NW_2022</x:v>
      </x:c>
      <x:c r="D33" t="str">
        <x:v>FDP</x:v>
      </x:c>
      <x:c r="E33" s="20" t="n">
        <x:v>8</x:v>
      </x:c>
      <x:c r="F33" s="20" t="n">
        <x:v>5.9</x:v>
      </x:c>
      <x:c r="G33" s="20" t="n">
        <x:f>E33-F33</x:f>
        <x:v>2.0999999999999996</x:v>
      </x:c>
      <x:c r="H33" s="20" t="n">
        <x:f>ABS(G33)</x:f>
        <x:v>2.0999999999999996</x:v>
      </x:c>
      <x:c r="I33" s="20" t="n">
        <x:f>G33^2</x:f>
        <x:v>4.409999999999998</x:v>
      </x:c>
    </x:row>
    <x:row r="34">
      <x:c r="A34" t="str">
        <x:v>SUPP_C005</x:v>
      </x:c>
      <x:c r="B34" t="str">
        <x:v>SUPP_P005</x:v>
      </x:c>
      <x:c r="C34" t="str">
        <x:v>DE_NW_2022</x:v>
      </x:c>
      <x:c r="D34" t="str">
        <x:v>LINKE</x:v>
      </x:c>
      <x:c r="E34" s="20" t="n">
        <x:v>3</x:v>
      </x:c>
      <x:c r="F34" s="20" t="n">
        <x:v>2.1</x:v>
      </x:c>
      <x:c r="G34" s="20" t="n">
        <x:f>E34-F34</x:f>
        <x:v>0.8999999999999999</x:v>
      </x:c>
      <x:c r="H34" s="20" t="n">
        <x:f>ABS(G34)</x:f>
        <x:v>0.8999999999999999</x:v>
      </x:c>
      <x:c r="I34" s="20" t="n">
        <x:f>G34^2</x:f>
        <x:v>0.8099999999999998</x:v>
      </x:c>
    </x:row>
    <x:row r="35">
      <x:c r="A35" t="str">
        <x:v>SUPP_C005</x:v>
      </x:c>
      <x:c r="B35" t="str">
        <x:v>SUPP_P005</x:v>
      </x:c>
      <x:c r="C35" t="str">
        <x:v>DE_NW_2022</x:v>
      </x:c>
      <x:c r="D35" t="str">
        <x:v>AfD</x:v>
      </x:c>
      <x:c r="E35" s="20" t="n">
        <x:v>8</x:v>
      </x:c>
      <x:c r="F35" s="20" t="n">
        <x:v>5.4</x:v>
      </x:c>
      <x:c r="G35" s="20" t="n">
        <x:f>E35-F35</x:f>
        <x:v>2.5999999999999996</x:v>
      </x:c>
      <x:c r="H35" s="20" t="n">
        <x:f>ABS(G35)</x:f>
        <x:v>2.5999999999999996</x:v>
      </x:c>
      <x:c r="I35" s="20" t="n">
        <x:f>G35^2</x:f>
        <x:v>6.759999999999998</x:v>
      </x:c>
    </x:row>
    <x:row r="36">
      <x:c r="A36" t="str">
        <x:v>SUPP_C005</x:v>
      </x:c>
      <x:c r="B36" t="str">
        <x:v>SUPP_P005</x:v>
      </x:c>
      <x:c r="C36" t="str">
        <x:v>DE_NW_2022</x:v>
      </x:c>
      <x:c r="D36" t="str">
        <x:v>Sonstige</x:v>
      </x:c>
      <x:c r="E36" s="20" t="n">
        <x:v>7</x:v>
      </x:c>
      <x:c r="F36" s="20" t="n">
        <x:v>6.1</x:v>
      </x:c>
      <x:c r="G36" s="20" t="n">
        <x:f>E36-F36</x:f>
        <x:v>0.9000000000000004</x:v>
      </x:c>
      <x:c r="H36" s="20" t="n">
        <x:f>ABS(G36)</x:f>
        <x:v>0.9000000000000004</x:v>
      </x:c>
      <x:c r="I36" s="20" t="n">
        <x:f>G36^2</x:f>
        <x:v>0.8100000000000006</x:v>
      </x:c>
    </x:row>
    <x:row r="37">
      <x:c r="A37" t="str">
        <x:v>SUPP_C006</x:v>
      </x:c>
      <x:c r="B37" t="str">
        <x:v>SUPP_P006</x:v>
      </x:c>
      <x:c r="C37" t="str">
        <x:v>DE_NW_2022</x:v>
      </x:c>
      <x:c r="D37" t="str">
        <x:v>CDU</x:v>
      </x:c>
      <x:c r="E37" s="20" t="n">
        <x:v>31</x:v>
      </x:c>
      <x:c r="F37" s="20" t="n">
        <x:v>35.7</x:v>
      </x:c>
      <x:c r="G37" s="20" t="n">
        <x:f>E37-F37</x:f>
        <x:v>-4.700000000000003</x:v>
      </x:c>
      <x:c r="H37" s="20" t="n">
        <x:f>ABS(G37)</x:f>
        <x:v>4.700000000000003</x:v>
      </x:c>
      <x:c r="I37" s="20" t="n">
        <x:f>G37^2</x:f>
        <x:v>22.09000000000003</x:v>
      </x:c>
    </x:row>
    <x:row r="38">
      <x:c r="A38" t="str">
        <x:v>SUPP_C006</x:v>
      </x:c>
      <x:c r="B38" t="str">
        <x:v>SUPP_P006</x:v>
      </x:c>
      <x:c r="C38" t="str">
        <x:v>DE_NW_2022</x:v>
      </x:c>
      <x:c r="D38" t="str">
        <x:v>SPD</x:v>
      </x:c>
      <x:c r="E38" s="20" t="n">
        <x:v>28</x:v>
      </x:c>
      <x:c r="F38" s="20" t="n">
        <x:v>26.7</x:v>
      </x:c>
      <x:c r="G38" s="20" t="n">
        <x:f>E38-F38</x:f>
        <x:v>1.3000000000000007</x:v>
      </x:c>
      <x:c r="H38" s="20" t="n">
        <x:f>ABS(G38)</x:f>
        <x:v>1.3000000000000007</x:v>
      </x:c>
      <x:c r="I38" s="20" t="n">
        <x:f>G38^2</x:f>
        <x:v>1.690000000000002</x:v>
      </x:c>
    </x:row>
    <x:row r="39">
      <x:c r="A39" t="str">
        <x:v>SUPP_C006</x:v>
      </x:c>
      <x:c r="B39" t="str">
        <x:v>SUPP_P006</x:v>
      </x:c>
      <x:c r="C39" t="str">
        <x:v>DE_NW_2022</x:v>
      </x:c>
      <x:c r="D39" t="str">
        <x:v>GRÜNE</x:v>
      </x:c>
      <x:c r="E39" s="20" t="n">
        <x:v>15</x:v>
      </x:c>
      <x:c r="F39" s="20" t="n">
        <x:v>18.2</x:v>
      </x:c>
      <x:c r="G39" s="20" t="n">
        <x:f>E39-F39</x:f>
        <x:v>-3.1999999999999993</x:v>
      </x:c>
      <x:c r="H39" s="20" t="n">
        <x:f>ABS(G39)</x:f>
        <x:v>3.1999999999999993</x:v>
      </x:c>
      <x:c r="I39" s="20" t="n">
        <x:f>G39^2</x:f>
        <x:v>10.239999999999995</x:v>
      </x:c>
    </x:row>
    <x:row r="40">
      <x:c r="A40" t="str">
        <x:v>SUPP_C006</x:v>
      </x:c>
      <x:c r="B40" t="str">
        <x:v>SUPP_P006</x:v>
      </x:c>
      <x:c r="C40" t="str">
        <x:v>DE_NW_2022</x:v>
      </x:c>
      <x:c r="D40" t="str">
        <x:v>FDP</x:v>
      </x:c>
      <x:c r="E40" s="20" t="n">
        <x:v>10</x:v>
      </x:c>
      <x:c r="F40" s="20" t="n">
        <x:v>5.9</x:v>
      </x:c>
      <x:c r="G40" s="20" t="n">
        <x:f>E40-F40</x:f>
        <x:v>4.1</x:v>
      </x:c>
      <x:c r="H40" s="20" t="n">
        <x:f>ABS(G40)</x:f>
        <x:v>4.1</x:v>
      </x:c>
      <x:c r="I40" s="20" t="n">
        <x:f>G40^2</x:f>
        <x:v>16.81</x:v>
      </x:c>
    </x:row>
    <x:row r="41">
      <x:c r="A41" t="str">
        <x:v>SUPP_C006</x:v>
      </x:c>
      <x:c r="B41" t="str">
        <x:v>SUPP_P006</x:v>
      </x:c>
      <x:c r="C41" t="str">
        <x:v>DE_NW_2022</x:v>
      </x:c>
      <x:c r="D41" t="str">
        <x:v>LINKE</x:v>
      </x:c>
      <x:c r="E41" s="20" t="n">
        <x:v>4</x:v>
      </x:c>
      <x:c r="F41" s="20" t="n">
        <x:v>2.1</x:v>
      </x:c>
      <x:c r="G41" s="20" t="n">
        <x:f>E41-F41</x:f>
        <x:v>1.9</x:v>
      </x:c>
      <x:c r="H41" s="20" t="n">
        <x:f>ABS(G41)</x:f>
        <x:v>1.9</x:v>
      </x:c>
      <x:c r="I41" s="20" t="n">
        <x:f>G41^2</x:f>
        <x:v>3.61</x:v>
      </x:c>
    </x:row>
    <x:row r="42">
      <x:c r="A42" t="str">
        <x:v>SUPP_C006</x:v>
      </x:c>
      <x:c r="B42" t="str">
        <x:v>SUPP_P006</x:v>
      </x:c>
      <x:c r="C42" t="str">
        <x:v>DE_NW_2022</x:v>
      </x:c>
      <x:c r="D42" t="str">
        <x:v>AfD</x:v>
      </x:c>
      <x:c r="E42" s="20" t="n">
        <x:v>7</x:v>
      </x:c>
      <x:c r="F42" s="20" t="n">
        <x:v>5.4</x:v>
      </x:c>
      <x:c r="G42" s="20" t="n">
        <x:f>E42-F42</x:f>
        <x:v>1.5999999999999996</x:v>
      </x:c>
      <x:c r="H42" s="20" t="n">
        <x:f>ABS(G42)</x:f>
        <x:v>1.5999999999999996</x:v>
      </x:c>
      <x:c r="I42" s="20" t="n">
        <x:f>G42^2</x:f>
        <x:v>2.5599999999999987</x:v>
      </x:c>
    </x:row>
    <x:row r="43">
      <x:c r="A43" t="str">
        <x:v>SUPP_C006</x:v>
      </x:c>
      <x:c r="B43" t="str">
        <x:v>SUPP_P006</x:v>
      </x:c>
      <x:c r="C43" t="str">
        <x:v>DE_NW_2022</x:v>
      </x:c>
      <x:c r="D43" t="str">
        <x:v>Sonstige</x:v>
      </x:c>
      <x:c r="E43" s="20" t="n">
        <x:v>5</x:v>
      </x:c>
      <x:c r="F43" s="20" t="n">
        <x:v>6.1</x:v>
      </x:c>
      <x:c r="G43" s="20" t="n">
        <x:f>E43-F43</x:f>
        <x:v>-1.0999999999999996</x:v>
      </x:c>
      <x:c r="H43" s="20" t="n">
        <x:f>ABS(G43)</x:f>
        <x:v>1.0999999999999996</x:v>
      </x:c>
      <x:c r="I43" s="20" t="n">
        <x:f>G43^2</x:f>
        <x:v>1.2099999999999993</x:v>
      </x:c>
    </x:row>
    <x:row r="44">
      <x:c r="A44" t="str">
        <x:v>SUPP_C007</x:v>
      </x:c>
      <x:c r="B44" t="str">
        <x:v>SUPP_P007</x:v>
      </x:c>
      <x:c r="C44" t="str">
        <x:v>DE_HB_2023</x:v>
      </x:c>
      <x:c r="D44" t="str">
        <x:v>CDU</x:v>
      </x:c>
      <x:c r="E44" s="20" t="n">
        <x:v>26</x:v>
      </x:c>
      <x:c r="F44" s="20" t="n">
        <x:v>26.2</x:v>
      </x:c>
      <x:c r="G44" s="20" t="n">
        <x:f>E44-F44</x:f>
        <x:v>-0.1999999999999993</x:v>
      </x:c>
      <x:c r="H44" s="20" t="n">
        <x:f>ABS(G44)</x:f>
        <x:v>0.1999999999999993</x:v>
      </x:c>
      <x:c r="I44" s="20" t="n">
        <x:f>G44^2</x:f>
        <x:v>0.039999999999999716</x:v>
      </x:c>
    </x:row>
    <x:row r="45">
      <x:c r="A45" t="str">
        <x:v>SUPP_C007</x:v>
      </x:c>
      <x:c r="B45" t="str">
        <x:v>SUPP_P007</x:v>
      </x:c>
      <x:c r="C45" t="str">
        <x:v>DE_HB_2023</x:v>
      </x:c>
      <x:c r="D45" t="str">
        <x:v>SPD</x:v>
      </x:c>
      <x:c r="E45" s="20" t="n">
        <x:v>29</x:v>
      </x:c>
      <x:c r="F45" s="20" t="n">
        <x:v>29.8</x:v>
      </x:c>
      <x:c r="G45" s="20" t="n">
        <x:f>E45-F45</x:f>
        <x:v>-0.8000000000000007</x:v>
      </x:c>
      <x:c r="H45" s="20" t="n">
        <x:f>ABS(G45)</x:f>
        <x:v>0.8000000000000007</x:v>
      </x:c>
      <x:c r="I45" s="20" t="n">
        <x:f>G45^2</x:f>
        <x:v>0.6400000000000011</x:v>
      </x:c>
    </x:row>
    <x:row r="46">
      <x:c r="A46" t="str">
        <x:v>SUPP_C007</x:v>
      </x:c>
      <x:c r="B46" t="str">
        <x:v>SUPP_P007</x:v>
      </x:c>
      <x:c r="C46" t="str">
        <x:v>DE_HB_2023</x:v>
      </x:c>
      <x:c r="D46" t="str">
        <x:v>GRÜNE</x:v>
      </x:c>
      <x:c r="E46" s="20" t="n">
        <x:v>13</x:v>
      </x:c>
      <x:c r="F46" s="20" t="n">
        <x:v>11.9</x:v>
      </x:c>
      <x:c r="G46" s="20" t="n">
        <x:f>E46-F46</x:f>
        <x:v>1.0999999999999996</x:v>
      </x:c>
      <x:c r="H46" s="20" t="n">
        <x:f>ABS(G46)</x:f>
        <x:v>1.0999999999999996</x:v>
      </x:c>
      <x:c r="I46" s="20" t="n">
        <x:f>G46^2</x:f>
        <x:v>1.2099999999999993</x:v>
      </x:c>
    </x:row>
    <x:row r="47">
      <x:c r="A47" t="str">
        <x:v>SUPP_C007</x:v>
      </x:c>
      <x:c r="B47" t="str">
        <x:v>SUPP_P007</x:v>
      </x:c>
      <x:c r="C47" t="str">
        <x:v>DE_HB_2023</x:v>
      </x:c>
      <x:c r="D47" t="str">
        <x:v>FDP</x:v>
      </x:c>
      <x:c r="E47" s="20" t="n">
        <x:v>6</x:v>
      </x:c>
      <x:c r="F47" s="20" t="n">
        <x:v>5.1</x:v>
      </x:c>
      <x:c r="G47" s="20" t="n">
        <x:f>E47-F47</x:f>
        <x:v>0.9000000000000004</x:v>
      </x:c>
      <x:c r="H47" s="20" t="n">
        <x:f>ABS(G47)</x:f>
        <x:v>0.9000000000000004</x:v>
      </x:c>
      <x:c r="I47" s="20" t="n">
        <x:f>G47^2</x:f>
        <x:v>0.8100000000000006</x:v>
      </x:c>
    </x:row>
    <x:row r="48">
      <x:c r="A48" t="str">
        <x:v>SUPP_C007</x:v>
      </x:c>
      <x:c r="B48" t="str">
        <x:v>SUPP_P007</x:v>
      </x:c>
      <x:c r="C48" t="str">
        <x:v>DE_HB_2023</x:v>
      </x:c>
      <x:c r="D48" t="str">
        <x:v>LINKE</x:v>
      </x:c>
      <x:c r="E48" s="20" t="n">
        <x:v>11</x:v>
      </x:c>
      <x:c r="F48" s="20" t="n">
        <x:v>10.9</x:v>
      </x:c>
      <x:c r="G48" s="20" t="n">
        <x:f>E48-F48</x:f>
        <x:v>0.09999999999999964</x:v>
      </x:c>
      <x:c r="H48" s="20" t="n">
        <x:f>ABS(G48)</x:f>
        <x:v>0.09999999999999964</x:v>
      </x:c>
      <x:c r="I48" s="20" t="n">
        <x:f>G48^2</x:f>
        <x:v>0.009999999999999929</x:v>
      </x:c>
    </x:row>
    <x:row r="49">
      <x:c r="A49" t="str">
        <x:v>SUPP_C007</x:v>
      </x:c>
      <x:c r="B49" t="str">
        <x:v>SUPP_P007</x:v>
      </x:c>
      <x:c r="C49" t="str">
        <x:v>DE_HB_2023</x:v>
      </x:c>
      <x:c r="D49" t="str">
        <x:v>BD/BIW</x:v>
      </x:c>
      <x:c r="E49" s="20" t="n">
        <x:v>10</x:v>
      </x:c>
      <x:c r="F49" s="20" t="n">
        <x:v>9.4</x:v>
      </x:c>
      <x:c r="G49" s="20" t="n">
        <x:f>E49-F49</x:f>
        <x:v>0.5999999999999996</x:v>
      </x:c>
      <x:c r="H49" s="20" t="n">
        <x:f>ABS(G49)</x:f>
        <x:v>0.5999999999999996</x:v>
      </x:c>
      <x:c r="I49" s="20" t="n">
        <x:f>G49^2</x:f>
        <x:v>0.3599999999999996</x:v>
      </x:c>
    </x:row>
    <x:row r="50">
      <x:c r="A50" t="str">
        <x:v>SUPP_C007</x:v>
      </x:c>
      <x:c r="B50" t="str">
        <x:v>SUPP_P007</x:v>
      </x:c>
      <x:c r="C50" t="str">
        <x:v>DE_HB_2023</x:v>
      </x:c>
      <x:c r="D50" t="str">
        <x:v>Sonstige</x:v>
      </x:c>
      <x:c r="E50" s="20" t="n">
        <x:v>5</x:v>
      </x:c>
      <x:c r="F50" s="20" t="n">
        <x:v>6.7</x:v>
      </x:c>
      <x:c r="G50" s="20" t="n">
        <x:f>E50-F50</x:f>
        <x:v>-1.7000000000000002</x:v>
      </x:c>
      <x:c r="H50" s="20" t="n">
        <x:f>ABS(G50)</x:f>
        <x:v>1.7000000000000002</x:v>
      </x:c>
      <x:c r="I50" s="20" t="n">
        <x:f>G50^2</x:f>
        <x:v>2.8900000000000006</x:v>
      </x:c>
    </x:row>
    <x:row r="51">
      <x:c r="A51" t="str">
        <x:v>SUPP_C008</x:v>
      </x:c>
      <x:c r="B51" t="str">
        <x:v>SUPP_P008</x:v>
      </x:c>
      <x:c r="C51" t="str">
        <x:v>DE_HB_2023</x:v>
      </x:c>
      <x:c r="D51" t="str">
        <x:v>CDU</x:v>
      </x:c>
      <x:c r="E51" s="20" t="n">
        <x:v>27</x:v>
      </x:c>
      <x:c r="F51" s="20" t="n">
        <x:v>26.2</x:v>
      </x:c>
      <x:c r="G51" s="20" t="n">
        <x:f>E51-F51</x:f>
        <x:v>0.8000000000000007</x:v>
      </x:c>
      <x:c r="H51" s="20" t="n">
        <x:f>ABS(G51)</x:f>
        <x:v>0.8000000000000007</x:v>
      </x:c>
      <x:c r="I51" s="20" t="n">
        <x:f>G51^2</x:f>
        <x:v>0.6400000000000011</x:v>
      </x:c>
    </x:row>
    <x:row r="52">
      <x:c r="A52" t="str">
        <x:v>SUPP_C008</x:v>
      </x:c>
      <x:c r="B52" t="str">
        <x:v>SUPP_P008</x:v>
      </x:c>
      <x:c r="C52" t="str">
        <x:v>DE_HB_2023</x:v>
      </x:c>
      <x:c r="D52" t="str">
        <x:v>SPD</x:v>
      </x:c>
      <x:c r="E52" s="20" t="n">
        <x:v>30</x:v>
      </x:c>
      <x:c r="F52" s="20" t="n">
        <x:v>29.8</x:v>
      </x:c>
      <x:c r="G52" s="20" t="n">
        <x:f>E52-F52</x:f>
        <x:v>0.1999999999999993</x:v>
      </x:c>
      <x:c r="H52" s="20" t="n">
        <x:f>ABS(G52)</x:f>
        <x:v>0.1999999999999993</x:v>
      </x:c>
      <x:c r="I52" s="20" t="n">
        <x:f>G52^2</x:f>
        <x:v>0.039999999999999716</x:v>
      </x:c>
    </x:row>
    <x:row r="53">
      <x:c r="A53" t="str">
        <x:v>SUPP_C008</x:v>
      </x:c>
      <x:c r="B53" t="str">
        <x:v>SUPP_P008</x:v>
      </x:c>
      <x:c r="C53" t="str">
        <x:v>DE_HB_2023</x:v>
      </x:c>
      <x:c r="D53" t="str">
        <x:v>GRÜNE</x:v>
      </x:c>
      <x:c r="E53" s="20" t="n">
        <x:v>13</x:v>
      </x:c>
      <x:c r="F53" s="20" t="n">
        <x:v>11.9</x:v>
      </x:c>
      <x:c r="G53" s="20" t="n">
        <x:f>E53-F53</x:f>
        <x:v>1.0999999999999996</x:v>
      </x:c>
      <x:c r="H53" s="20" t="n">
        <x:f>ABS(G53)</x:f>
        <x:v>1.0999999999999996</x:v>
      </x:c>
      <x:c r="I53" s="20" t="n">
        <x:f>G53^2</x:f>
        <x:v>1.2099999999999993</x:v>
      </x:c>
    </x:row>
    <x:row r="54">
      <x:c r="A54" t="str">
        <x:v>SUPP_C008</x:v>
      </x:c>
      <x:c r="B54" t="str">
        <x:v>SUPP_P008</x:v>
      </x:c>
      <x:c r="C54" t="str">
        <x:v>DE_HB_2023</x:v>
      </x:c>
      <x:c r="D54" t="str">
        <x:v>FDP</x:v>
      </x:c>
      <x:c r="E54" s="20" t="n">
        <x:v>6</x:v>
      </x:c>
      <x:c r="F54" s="20" t="n">
        <x:v>5.1</x:v>
      </x:c>
      <x:c r="G54" s="20" t="n">
        <x:f>E54-F54</x:f>
        <x:v>0.9000000000000004</x:v>
      </x:c>
      <x:c r="H54" s="20" t="n">
        <x:f>ABS(G54)</x:f>
        <x:v>0.9000000000000004</x:v>
      </x:c>
      <x:c r="I54" s="20" t="n">
        <x:f>G54^2</x:f>
        <x:v>0.8100000000000006</x:v>
      </x:c>
    </x:row>
    <x:row r="55">
      <x:c r="A55" t="str">
        <x:v>SUPP_C008</x:v>
      </x:c>
      <x:c r="B55" t="str">
        <x:v>SUPP_P008</x:v>
      </x:c>
      <x:c r="C55" t="str">
        <x:v>DE_HB_2023</x:v>
      </x:c>
      <x:c r="D55" t="str">
        <x:v>LINKE</x:v>
      </x:c>
      <x:c r="E55" s="20" t="n">
        <x:v>10</x:v>
      </x:c>
      <x:c r="F55" s="20" t="n">
        <x:v>10.9</x:v>
      </x:c>
      <x:c r="G55" s="20" t="n">
        <x:f>E55-F55</x:f>
        <x:v>-0.9000000000000004</x:v>
      </x:c>
      <x:c r="H55" s="20" t="n">
        <x:f>ABS(G55)</x:f>
        <x:v>0.9000000000000004</x:v>
      </x:c>
      <x:c r="I55" s="20" t="n">
        <x:f>G55^2</x:f>
        <x:v>0.8100000000000006</x:v>
      </x:c>
    </x:row>
    <x:row r="56">
      <x:c r="A56" t="str">
        <x:v>SUPP_C008</x:v>
      </x:c>
      <x:c r="B56" t="str">
        <x:v>SUPP_P008</x:v>
      </x:c>
      <x:c r="C56" t="str">
        <x:v>DE_HB_2023</x:v>
      </x:c>
      <x:c r="D56" t="str">
        <x:v>BD/BIW</x:v>
      </x:c>
      <x:c r="E56" s="20" t="n">
        <x:v>9</x:v>
      </x:c>
      <x:c r="F56" s="20" t="n">
        <x:v>9.4</x:v>
      </x:c>
      <x:c r="G56" s="20" t="n">
        <x:f>E56-F56</x:f>
        <x:v>-0.40000000000000036</x:v>
      </x:c>
      <x:c r="H56" s="20" t="n">
        <x:f>ABS(G56)</x:f>
        <x:v>0.40000000000000036</x:v>
      </x:c>
      <x:c r="I56" s="20" t="n">
        <x:f>G56^2</x:f>
        <x:v>0.16000000000000028</x:v>
      </x:c>
    </x:row>
    <x:row r="57">
      <x:c r="A57" t="str">
        <x:v>SUPP_C008</x:v>
      </x:c>
      <x:c r="B57" t="str">
        <x:v>SUPP_P008</x:v>
      </x:c>
      <x:c r="C57" t="str">
        <x:v>DE_HB_2023</x:v>
      </x:c>
      <x:c r="D57" t="str">
        <x:v>Sonstige</x:v>
      </x:c>
      <x:c r="E57" s="20" t="n">
        <x:v>5</x:v>
      </x:c>
      <x:c r="F57" s="20" t="n">
        <x:v>6.7</x:v>
      </x:c>
      <x:c r="G57" s="20" t="n">
        <x:f>E57-F57</x:f>
        <x:v>-1.7000000000000002</x:v>
      </x:c>
      <x:c r="H57" s="20" t="n">
        <x:f>ABS(G57)</x:f>
        <x:v>1.7000000000000002</x:v>
      </x:c>
      <x:c r="I57" s="20" t="n">
        <x:f>G57^2</x:f>
        <x:v>2.8900000000000006</x:v>
      </x:c>
    </x:row>
    <x:row r="58">
      <x:c r="A58" t="str">
        <x:v>SUPP_C009</x:v>
      </x:c>
      <x:c r="B58" t="str">
        <x:v>SUPP_P009</x:v>
      </x:c>
      <x:c r="C58" t="str">
        <x:v>DE_HB_2023</x:v>
      </x:c>
      <x:c r="D58" t="str">
        <x:v>CDU</x:v>
      </x:c>
      <x:c r="E58" s="20" t="n">
        <x:v>28</x:v>
      </x:c>
      <x:c r="F58" s="20" t="n">
        <x:v>26.2</x:v>
      </x:c>
      <x:c r="G58" s="20" t="n">
        <x:f>E58-F58</x:f>
        <x:v>1.8000000000000007</x:v>
      </x:c>
      <x:c r="H58" s="20" t="n">
        <x:f>ABS(G58)</x:f>
        <x:v>1.8000000000000007</x:v>
      </x:c>
      <x:c r="I58" s="20" t="n">
        <x:f>G58^2</x:f>
        <x:v>3.2400000000000024</x:v>
      </x:c>
    </x:row>
    <x:row r="59">
      <x:c r="A59" t="str">
        <x:v>SUPP_C009</x:v>
      </x:c>
      <x:c r="B59" t="str">
        <x:v>SUPP_P009</x:v>
      </x:c>
      <x:c r="C59" t="str">
        <x:v>DE_HB_2023</x:v>
      </x:c>
      <x:c r="D59" t="str">
        <x:v>SPD</x:v>
      </x:c>
      <x:c r="E59" s="20" t="n">
        <x:v>30</x:v>
      </x:c>
      <x:c r="F59" s="20" t="n">
        <x:v>29.8</x:v>
      </x:c>
      <x:c r="G59" s="20" t="n">
        <x:f>E59-F59</x:f>
        <x:v>0.1999999999999993</x:v>
      </x:c>
      <x:c r="H59" s="20" t="n">
        <x:f>ABS(G59)</x:f>
        <x:v>0.1999999999999993</x:v>
      </x:c>
      <x:c r="I59" s="20" t="n">
        <x:f>G59^2</x:f>
        <x:v>0.039999999999999716</x:v>
      </x:c>
    </x:row>
    <x:row r="60">
      <x:c r="A60" t="str">
        <x:v>SUPP_C009</x:v>
      </x:c>
      <x:c r="B60" t="str">
        <x:v>SUPP_P009</x:v>
      </x:c>
      <x:c r="C60" t="str">
        <x:v>DE_HB_2023</x:v>
      </x:c>
      <x:c r="D60" t="str">
        <x:v>GRÜNE</x:v>
      </x:c>
      <x:c r="E60" s="20" t="n">
        <x:v>12</x:v>
      </x:c>
      <x:c r="F60" s="20" t="n">
        <x:v>11.9</x:v>
      </x:c>
      <x:c r="G60" s="20" t="n">
        <x:f>E60-F60</x:f>
        <x:v>0.09999999999999964</x:v>
      </x:c>
      <x:c r="H60" s="20" t="n">
        <x:f>ABS(G60)</x:f>
        <x:v>0.09999999999999964</x:v>
      </x:c>
      <x:c r="I60" s="20" t="n">
        <x:f>G60^2</x:f>
        <x:v>0.009999999999999929</x:v>
      </x:c>
    </x:row>
    <x:row r="61">
      <x:c r="A61" t="str">
        <x:v>SUPP_C009</x:v>
      </x:c>
      <x:c r="B61" t="str">
        <x:v>SUPP_P009</x:v>
      </x:c>
      <x:c r="C61" t="str">
        <x:v>DE_HB_2023</x:v>
      </x:c>
      <x:c r="D61" t="str">
        <x:v>FDP</x:v>
      </x:c>
      <x:c r="E61" s="20" t="n">
        <x:v>6</x:v>
      </x:c>
      <x:c r="F61" s="20" t="n">
        <x:v>5.1</x:v>
      </x:c>
      <x:c r="G61" s="20" t="n">
        <x:f>E61-F61</x:f>
        <x:v>0.9000000000000004</x:v>
      </x:c>
      <x:c r="H61" s="20" t="n">
        <x:f>ABS(G61)</x:f>
        <x:v>0.9000000000000004</x:v>
      </x:c>
      <x:c r="I61" s="20" t="n">
        <x:f>G61^2</x:f>
        <x:v>0.8100000000000006</x:v>
      </x:c>
    </x:row>
    <x:row r="62">
      <x:c r="A62" t="str">
        <x:v>SUPP_C009</x:v>
      </x:c>
      <x:c r="B62" t="str">
        <x:v>SUPP_P009</x:v>
      </x:c>
      <x:c r="C62" t="str">
        <x:v>DE_HB_2023</x:v>
      </x:c>
      <x:c r="D62" t="str">
        <x:v>LINKE</x:v>
      </x:c>
      <x:c r="E62" s="20" t="n">
        <x:v>9</x:v>
      </x:c>
      <x:c r="F62" s="20" t="n">
        <x:v>10.9</x:v>
      </x:c>
      <x:c r="G62" s="20" t="n">
        <x:f>E62-F62</x:f>
        <x:v>-1.9000000000000004</x:v>
      </x:c>
      <x:c r="H62" s="20" t="n">
        <x:f>ABS(G62)</x:f>
        <x:v>1.9000000000000004</x:v>
      </x:c>
      <x:c r="I62" s="20" t="n">
        <x:f>G62^2</x:f>
        <x:v>3.610000000000001</x:v>
      </x:c>
    </x:row>
    <x:row r="63">
      <x:c r="A63" t="str">
        <x:v>SUPP_C009</x:v>
      </x:c>
      <x:c r="B63" t="str">
        <x:v>SUPP_P009</x:v>
      </x:c>
      <x:c r="C63" t="str">
        <x:v>DE_HB_2023</x:v>
      </x:c>
      <x:c r="D63" t="str">
        <x:v>BD/BIW</x:v>
      </x:c>
      <x:c r="E63" s="20" t="n">
        <x:v>8</x:v>
      </x:c>
      <x:c r="F63" s="20" t="n">
        <x:v>9.4</x:v>
      </x:c>
      <x:c r="G63" s="20" t="n">
        <x:f>E63-F63</x:f>
        <x:v>-1.4000000000000004</x:v>
      </x:c>
      <x:c r="H63" s="20" t="n">
        <x:f>ABS(G63)</x:f>
        <x:v>1.4000000000000004</x:v>
      </x:c>
      <x:c r="I63" s="20" t="n">
        <x:f>G63^2</x:f>
        <x:v>1.960000000000001</x:v>
      </x:c>
    </x:row>
    <x:row r="64">
      <x:c r="A64" t="str">
        <x:v>SUPP_C009</x:v>
      </x:c>
      <x:c r="B64" t="str">
        <x:v>SUPP_P009</x:v>
      </x:c>
      <x:c r="C64" t="str">
        <x:v>DE_HB_2023</x:v>
      </x:c>
      <x:c r="D64" t="str">
        <x:v>Sonstige</x:v>
      </x:c>
      <x:c r="E64" s="20" t="n">
        <x:v>7</x:v>
      </x:c>
      <x:c r="F64" s="20" t="n">
        <x:v>6.7</x:v>
      </x:c>
      <x:c r="G64" s="20" t="n">
        <x:f>E64-F64</x:f>
        <x:v>0.2999999999999998</x:v>
      </x:c>
      <x:c r="H64" s="20" t="n">
        <x:f>ABS(G64)</x:f>
        <x:v>0.2999999999999998</x:v>
      </x:c>
      <x:c r="I64" s="20" t="n">
        <x:f>G64^2</x:f>
        <x:v>0.0899999999999999</x:v>
      </x:c>
    </x:row>
    <x:row r="65">
      <x:c r="A65" t="str">
        <x:v>SUPP_C010</x:v>
      </x:c>
      <x:c r="B65" t="str">
        <x:v>SUPP_P010</x:v>
      </x:c>
      <x:c r="C65" t="str">
        <x:v>DE_MV_2021</x:v>
      </x:c>
      <x:c r="D65" t="str">
        <x:v>CDU</x:v>
      </x:c>
      <x:c r="E65" s="20" t="n">
        <x:v>13</x:v>
      </x:c>
      <x:c r="F65" s="20" t="n">
        <x:v>13.3</x:v>
      </x:c>
      <x:c r="G65" s="20" t="n">
        <x:f>E65-F65</x:f>
        <x:v>-0.3000000000000007</x:v>
      </x:c>
      <x:c r="H65" s="20" t="n">
        <x:f>ABS(G65)</x:f>
        <x:v>0.3000000000000007</x:v>
      </x:c>
      <x:c r="I65" s="20" t="n">
        <x:f>G65^2</x:f>
        <x:v>0.09000000000000043</x:v>
      </x:c>
    </x:row>
    <x:row r="66">
      <x:c r="A66" t="str">
        <x:v>SUPP_C010</x:v>
      </x:c>
      <x:c r="B66" t="str">
        <x:v>SUPP_P010</x:v>
      </x:c>
      <x:c r="C66" t="str">
        <x:v>DE_MV_2021</x:v>
      </x:c>
      <x:c r="D66" t="str">
        <x:v>SPD</x:v>
      </x:c>
      <x:c r="E66" s="20" t="n">
        <x:v>40</x:v>
      </x:c>
      <x:c r="F66" s="20" t="n">
        <x:v>39.6</x:v>
      </x:c>
      <x:c r="G66" s="20" t="n">
        <x:f>E66-F66</x:f>
        <x:v>0.3999999999999986</x:v>
      </x:c>
      <x:c r="H66" s="20" t="n">
        <x:f>ABS(G66)</x:f>
        <x:v>0.3999999999999986</x:v>
      </x:c>
      <x:c r="I66" s="20" t="n">
        <x:f>G66^2</x:f>
        <x:v>0.15999999999999887</x:v>
      </x:c>
    </x:row>
    <x:row r="67">
      <x:c r="A67" t="str">
        <x:v>SUPP_C010</x:v>
      </x:c>
      <x:c r="B67" t="str">
        <x:v>SUPP_P010</x:v>
      </x:c>
      <x:c r="C67" t="str">
        <x:v>DE_MV_2021</x:v>
      </x:c>
      <x:c r="D67" t="str">
        <x:v>GRÜNE</x:v>
      </x:c>
      <x:c r="E67" s="20" t="n">
        <x:v>7</x:v>
      </x:c>
      <x:c r="F67" s="20" t="n">
        <x:v>6.3</x:v>
      </x:c>
      <x:c r="G67" s="20" t="n">
        <x:f>E67-F67</x:f>
        <x:v>0.7000000000000002</x:v>
      </x:c>
      <x:c r="H67" s="20" t="n">
        <x:f>ABS(G67)</x:f>
        <x:v>0.7000000000000002</x:v>
      </x:c>
      <x:c r="I67" s="20" t="n">
        <x:f>G67^2</x:f>
        <x:v>0.49000000000000027</x:v>
      </x:c>
    </x:row>
    <x:row r="68">
      <x:c r="A68" t="str">
        <x:v>SUPP_C010</x:v>
      </x:c>
      <x:c r="B68" t="str">
        <x:v>SUPP_P010</x:v>
      </x:c>
      <x:c r="C68" t="str">
        <x:v>DE_MV_2021</x:v>
      </x:c>
      <x:c r="D68" t="str">
        <x:v>FDP</x:v>
      </x:c>
      <x:c r="E68" s="20" t="n">
        <x:v>5</x:v>
      </x:c>
      <x:c r="F68" s="20" t="n">
        <x:v>5.8</x:v>
      </x:c>
      <x:c r="G68" s="20" t="n">
        <x:f>E68-F68</x:f>
        <x:v>-0.7999999999999998</x:v>
      </x:c>
      <x:c r="H68" s="20" t="n">
        <x:f>ABS(G68)</x:f>
        <x:v>0.7999999999999998</x:v>
      </x:c>
      <x:c r="I68" s="20" t="n">
        <x:f>G68^2</x:f>
        <x:v>0.6399999999999997</x:v>
      </x:c>
    </x:row>
    <x:row r="69">
      <x:c r="A69" t="str">
        <x:v>SUPP_C010</x:v>
      </x:c>
      <x:c r="B69" t="str">
        <x:v>SUPP_P010</x:v>
      </x:c>
      <x:c r="C69" t="str">
        <x:v>DE_MV_2021</x:v>
      </x:c>
      <x:c r="D69" t="str">
        <x:v>LINKE</x:v>
      </x:c>
      <x:c r="E69" s="20" t="n">
        <x:v>11</x:v>
      </x:c>
      <x:c r="F69" s="20" t="n">
        <x:v>9.9</x:v>
      </x:c>
      <x:c r="G69" s="20" t="n">
        <x:f>E69-F69</x:f>
        <x:v>1.0999999999999996</x:v>
      </x:c>
      <x:c r="H69" s="20" t="n">
        <x:f>ABS(G69)</x:f>
        <x:v>1.0999999999999996</x:v>
      </x:c>
      <x:c r="I69" s="20" t="n">
        <x:f>G69^2</x:f>
        <x:v>1.2099999999999993</x:v>
      </x:c>
    </x:row>
    <x:row r="70">
      <x:c r="A70" t="str">
        <x:v>SUPP_C010</x:v>
      </x:c>
      <x:c r="B70" t="str">
        <x:v>SUPP_P010</x:v>
      </x:c>
      <x:c r="C70" t="str">
        <x:v>DE_MV_2021</x:v>
      </x:c>
      <x:c r="D70" t="str">
        <x:v>AfD</x:v>
      </x:c>
      <x:c r="E70" s="20" t="n">
        <x:v>17</x:v>
      </x:c>
      <x:c r="F70" s="20" t="n">
        <x:v>16.7</x:v>
      </x:c>
      <x:c r="G70" s="20" t="n">
        <x:f>E70-F70</x:f>
        <x:v>0.3000000000000007</x:v>
      </x:c>
      <x:c r="H70" s="20" t="n">
        <x:f>ABS(G70)</x:f>
        <x:v>0.3000000000000007</x:v>
      </x:c>
      <x:c r="I70" s="20" t="n">
        <x:f>G70^2</x:f>
        <x:v>0.09000000000000043</x:v>
      </x:c>
    </x:row>
    <x:row r="71">
      <x:c r="A71" t="str">
        <x:v>SUPP_C010</x:v>
      </x:c>
      <x:c r="B71" t="str">
        <x:v>SUPP_P010</x:v>
      </x:c>
      <x:c r="C71" t="str">
        <x:v>DE_MV_2021</x:v>
      </x:c>
      <x:c r="D71" t="str">
        <x:v>NPD</x:v>
      </x:c>
      <x:c r="E71" s="20" t="n">
        <x:v>0</x:v>
      </x:c>
      <x:c r="F71" s="20" t="n">
        <x:v>0.8</x:v>
      </x:c>
      <x:c r="G71" s="20" t="n">
        <x:f>E71-F71</x:f>
        <x:v>-0.8</x:v>
      </x:c>
      <x:c r="H71" s="20" t="n">
        <x:f>ABS(G71)</x:f>
        <x:v>0.8</x:v>
      </x:c>
      <x:c r="I71" s="20" t="n">
        <x:f>G71^2</x:f>
        <x:v>0.6400000000000001</x:v>
      </x:c>
    </x:row>
    <x:row r="72">
      <x:c r="A72" t="str">
        <x:v>SUPP_C010</x:v>
      </x:c>
      <x:c r="B72" t="str">
        <x:v>SUPP_P010</x:v>
      </x:c>
      <x:c r="C72" t="str">
        <x:v>DE_MV_2021</x:v>
      </x:c>
      <x:c r="D72" t="str">
        <x:v>Sonstige</x:v>
      </x:c>
      <x:c r="E72" s="20" t="n">
        <x:v>7</x:v>
      </x:c>
      <x:c r="F72" s="20" t="n">
        <x:v>7.6</x:v>
      </x:c>
      <x:c r="G72" s="20" t="n">
        <x:f>E72-F72</x:f>
        <x:v>-0.5999999999999996</x:v>
      </x:c>
      <x:c r="H72" s="20" t="n">
        <x:f>ABS(G72)</x:f>
        <x:v>0.5999999999999996</x:v>
      </x:c>
      <x:c r="I72" s="20" t="n">
        <x:f>G72^2</x:f>
        <x:v>0.3599999999999996</x:v>
      </x:c>
    </x:row>
    <x:row r="73">
      <x:c r="A73" t="str">
        <x:v>SUPP_C011</x:v>
      </x:c>
      <x:c r="B73" t="str">
        <x:v>SUPP_P011</x:v>
      </x:c>
      <x:c r="C73" t="str">
        <x:v>DE_MV_2021</x:v>
      </x:c>
      <x:c r="D73" t="str">
        <x:v>CDU</x:v>
      </x:c>
      <x:c r="E73" s="20" t="n">
        <x:v>14</x:v>
      </x:c>
      <x:c r="F73" s="20" t="n">
        <x:v>13.3</x:v>
      </x:c>
      <x:c r="G73" s="20" t="n">
        <x:f>E73-F73</x:f>
        <x:v>0.6999999999999993</x:v>
      </x:c>
      <x:c r="H73" s="20" t="n">
        <x:f>ABS(G73)</x:f>
        <x:v>0.6999999999999993</x:v>
      </x:c>
      <x:c r="I73" s="20" t="n">
        <x:f>G73^2</x:f>
        <x:v>0.489999999999999</x:v>
      </x:c>
    </x:row>
    <x:row r="74">
      <x:c r="A74" t="str">
        <x:v>SUPP_C011</x:v>
      </x:c>
      <x:c r="B74" t="str">
        <x:v>SUPP_P011</x:v>
      </x:c>
      <x:c r="C74" t="str">
        <x:v>DE_MV_2021</x:v>
      </x:c>
      <x:c r="D74" t="str">
        <x:v>SPD</x:v>
      </x:c>
      <x:c r="E74" s="20" t="n">
        <x:v>39</x:v>
      </x:c>
      <x:c r="F74" s="20" t="n">
        <x:v>39.6</x:v>
      </x:c>
      <x:c r="G74" s="20" t="n">
        <x:f>E74-F74</x:f>
        <x:v>-0.6000000000000014</x:v>
      </x:c>
      <x:c r="H74" s="20" t="n">
        <x:f>ABS(G74)</x:f>
        <x:v>0.6000000000000014</x:v>
      </x:c>
      <x:c r="I74" s="20" t="n">
        <x:f>G74^2</x:f>
        <x:v>0.3600000000000017</x:v>
      </x:c>
    </x:row>
    <x:row r="75">
      <x:c r="A75" t="str">
        <x:v>SUPP_C011</x:v>
      </x:c>
      <x:c r="B75" t="str">
        <x:v>SUPP_P011</x:v>
      </x:c>
      <x:c r="C75" t="str">
        <x:v>DE_MV_2021</x:v>
      </x:c>
      <x:c r="D75" t="str">
        <x:v>GRÜNE</x:v>
      </x:c>
      <x:c r="E75" s="20" t="n">
        <x:v>7</x:v>
      </x:c>
      <x:c r="F75" s="20" t="n">
        <x:v>6.3</x:v>
      </x:c>
      <x:c r="G75" s="20" t="n">
        <x:f>E75-F75</x:f>
        <x:v>0.7000000000000002</x:v>
      </x:c>
      <x:c r="H75" s="20" t="n">
        <x:f>ABS(G75)</x:f>
        <x:v>0.7000000000000002</x:v>
      </x:c>
      <x:c r="I75" s="20" t="n">
        <x:f>G75^2</x:f>
        <x:v>0.49000000000000027</x:v>
      </x:c>
    </x:row>
    <x:row r="76">
      <x:c r="A76" t="str">
        <x:v>SUPP_C011</x:v>
      </x:c>
      <x:c r="B76" t="str">
        <x:v>SUPP_P011</x:v>
      </x:c>
      <x:c r="C76" t="str">
        <x:v>DE_MV_2021</x:v>
      </x:c>
      <x:c r="D76" t="str">
        <x:v>FDP</x:v>
      </x:c>
      <x:c r="E76" s="20" t="n">
        <x:v>5.5</x:v>
      </x:c>
      <x:c r="F76" s="20" t="n">
        <x:v>5.8</x:v>
      </x:c>
      <x:c r="G76" s="20" t="n">
        <x:f>E76-F76</x:f>
        <x:v>-0.2999999999999998</x:v>
      </x:c>
      <x:c r="H76" s="20" t="n">
        <x:f>ABS(G76)</x:f>
        <x:v>0.2999999999999998</x:v>
      </x:c>
      <x:c r="I76" s="20" t="n">
        <x:f>G76^2</x:f>
        <x:v>0.0899999999999999</x:v>
      </x:c>
    </x:row>
    <x:row r="77">
      <x:c r="A77" t="str">
        <x:v>SUPP_C011</x:v>
      </x:c>
      <x:c r="B77" t="str">
        <x:v>SUPP_P011</x:v>
      </x:c>
      <x:c r="C77" t="str">
        <x:v>DE_MV_2021</x:v>
      </x:c>
      <x:c r="D77" t="str">
        <x:v>LINKE</x:v>
      </x:c>
      <x:c r="E77" s="20" t="n">
        <x:v>11</x:v>
      </x:c>
      <x:c r="F77" s="20" t="n">
        <x:v>9.9</x:v>
      </x:c>
      <x:c r="G77" s="20" t="n">
        <x:f>E77-F77</x:f>
        <x:v>1.0999999999999996</x:v>
      </x:c>
      <x:c r="H77" s="20" t="n">
        <x:f>ABS(G77)</x:f>
        <x:v>1.0999999999999996</x:v>
      </x:c>
      <x:c r="I77" s="20" t="n">
        <x:f>G77^2</x:f>
        <x:v>1.2099999999999993</x:v>
      </x:c>
    </x:row>
    <x:row r="78">
      <x:c r="A78" t="str">
        <x:v>SUPP_C011</x:v>
      </x:c>
      <x:c r="B78" t="str">
        <x:v>SUPP_P011</x:v>
      </x:c>
      <x:c r="C78" t="str">
        <x:v>DE_MV_2021</x:v>
      </x:c>
      <x:c r="D78" t="str">
        <x:v>AfD</x:v>
      </x:c>
      <x:c r="E78" s="20" t="n">
        <x:v>16</x:v>
      </x:c>
      <x:c r="F78" s="20" t="n">
        <x:v>16.7</x:v>
      </x:c>
      <x:c r="G78" s="20" t="n">
        <x:f>E78-F78</x:f>
        <x:v>-0.6999999999999993</x:v>
      </x:c>
      <x:c r="H78" s="20" t="n">
        <x:f>ABS(G78)</x:f>
        <x:v>0.6999999999999993</x:v>
      </x:c>
      <x:c r="I78" s="20" t="n">
        <x:f>G78^2</x:f>
        <x:v>0.489999999999999</x:v>
      </x:c>
    </x:row>
    <x:row r="79">
      <x:c r="A79" t="str">
        <x:v>SUPP_C011</x:v>
      </x:c>
      <x:c r="B79" t="str">
        <x:v>SUPP_P011</x:v>
      </x:c>
      <x:c r="C79" t="str">
        <x:v>DE_MV_2021</x:v>
      </x:c>
      <x:c r="D79" t="str">
        <x:v>NPD</x:v>
      </x:c>
      <x:c r="E79" s="20" t="n">
        <x:v>0</x:v>
      </x:c>
      <x:c r="F79" s="20" t="n">
        <x:v>0.8</x:v>
      </x:c>
      <x:c r="G79" s="20" t="n">
        <x:f>E79-F79</x:f>
        <x:v>-0.8</x:v>
      </x:c>
      <x:c r="H79" s="20" t="n">
        <x:f>ABS(G79)</x:f>
        <x:v>0.8</x:v>
      </x:c>
      <x:c r="I79" s="20" t="n">
        <x:f>G79^2</x:f>
        <x:v>0.6400000000000001</x:v>
      </x:c>
    </x:row>
    <x:row r="80">
      <x:c r="A80" t="str">
        <x:v>SUPP_C011</x:v>
      </x:c>
      <x:c r="B80" t="str">
        <x:v>SUPP_P011</x:v>
      </x:c>
      <x:c r="C80" t="str">
        <x:v>DE_MV_2021</x:v>
      </x:c>
      <x:c r="D80" t="str">
        <x:v>Sonstige</x:v>
      </x:c>
      <x:c r="E80" s="20" t="n">
        <x:v>7.5</x:v>
      </x:c>
      <x:c r="F80" s="20" t="n">
        <x:v>7.6</x:v>
      </x:c>
      <x:c r="G80" s="20" t="n">
        <x:f>E80-F80</x:f>
        <x:v>-0.09999999999999964</x:v>
      </x:c>
      <x:c r="H80" s="20" t="n">
        <x:f>ABS(G80)</x:f>
        <x:v>0.09999999999999964</x:v>
      </x:c>
      <x:c r="I80" s="20" t="n">
        <x:f>G80^2</x:f>
        <x:v>0.009999999999999929</x:v>
      </x:c>
    </x:row>
    <x:row r="81">
      <x:c r="A81" t="str">
        <x:v>SUPP_C012</x:v>
      </x:c>
      <x:c r="B81" t="str">
        <x:v>SUPP_P012</x:v>
      </x:c>
      <x:c r="C81" t="str">
        <x:v>DE_MV_2021</x:v>
      </x:c>
      <x:c r="D81" t="str">
        <x:v>CDU</x:v>
      </x:c>
      <x:c r="E81" s="20" t="n">
        <x:v>15</x:v>
      </x:c>
      <x:c r="F81" s="20" t="n">
        <x:v>13.3</x:v>
      </x:c>
      <x:c r="G81" s="20" t="n">
        <x:f>E81-F81</x:f>
        <x:v>1.6999999999999993</x:v>
      </x:c>
      <x:c r="H81" s="20" t="n">
        <x:f>ABS(G81)</x:f>
        <x:v>1.6999999999999993</x:v>
      </x:c>
      <x:c r="I81" s="20" t="n">
        <x:f>G81^2</x:f>
        <x:v>2.8899999999999975</x:v>
      </x:c>
    </x:row>
    <x:row r="82">
      <x:c r="A82" t="str">
        <x:v>SUPP_C012</x:v>
      </x:c>
      <x:c r="B82" t="str">
        <x:v>SUPP_P012</x:v>
      </x:c>
      <x:c r="C82" t="str">
        <x:v>DE_MV_2021</x:v>
      </x:c>
      <x:c r="D82" t="str">
        <x:v>SPD</x:v>
      </x:c>
      <x:c r="E82" s="20" t="n">
        <x:v>40</x:v>
      </x:c>
      <x:c r="F82" s="20" t="n">
        <x:v>39.6</x:v>
      </x:c>
      <x:c r="G82" s="20" t="n">
        <x:f>E82-F82</x:f>
        <x:v>0.3999999999999986</x:v>
      </x:c>
      <x:c r="H82" s="20" t="n">
        <x:f>ABS(G82)</x:f>
        <x:v>0.3999999999999986</x:v>
      </x:c>
      <x:c r="I82" s="20" t="n">
        <x:f>G82^2</x:f>
        <x:v>0.15999999999999887</x:v>
      </x:c>
    </x:row>
    <x:row r="83">
      <x:c r="A83" t="str">
        <x:v>SUPP_C012</x:v>
      </x:c>
      <x:c r="B83" t="str">
        <x:v>SUPP_P012</x:v>
      </x:c>
      <x:c r="C83" t="str">
        <x:v>DE_MV_2021</x:v>
      </x:c>
      <x:c r="D83" t="str">
        <x:v>GRÜNE</x:v>
      </x:c>
      <x:c r="E83" s="20" t="n">
        <x:v>6</x:v>
      </x:c>
      <x:c r="F83" s="20" t="n">
        <x:v>6.3</x:v>
      </x:c>
      <x:c r="G83" s="20" t="n">
        <x:f>E83-F83</x:f>
        <x:v>-0.2999999999999998</x:v>
      </x:c>
      <x:c r="H83" s="20" t="n">
        <x:f>ABS(G83)</x:f>
        <x:v>0.2999999999999998</x:v>
      </x:c>
      <x:c r="I83" s="20" t="n">
        <x:f>G83^2</x:f>
        <x:v>0.0899999999999999</x:v>
      </x:c>
    </x:row>
    <x:row r="84">
      <x:c r="A84" t="str">
        <x:v>SUPP_C012</x:v>
      </x:c>
      <x:c r="B84" t="str">
        <x:v>SUPP_P012</x:v>
      </x:c>
      <x:c r="C84" t="str">
        <x:v>DE_MV_2021</x:v>
      </x:c>
      <x:c r="D84" t="str">
        <x:v>FDP</x:v>
      </x:c>
      <x:c r="E84" s="20" t="n">
        <x:v>5</x:v>
      </x:c>
      <x:c r="F84" s="20" t="n">
        <x:v>5.8</x:v>
      </x:c>
      <x:c r="G84" s="20" t="n">
        <x:f>E84-F84</x:f>
        <x:v>-0.7999999999999998</x:v>
      </x:c>
      <x:c r="H84" s="20" t="n">
        <x:f>ABS(G84)</x:f>
        <x:v>0.7999999999999998</x:v>
      </x:c>
      <x:c r="I84" s="20" t="n">
        <x:f>G84^2</x:f>
        <x:v>0.6399999999999997</x:v>
      </x:c>
    </x:row>
    <x:row r="85">
      <x:c r="A85" t="str">
        <x:v>SUPP_C012</x:v>
      </x:c>
      <x:c r="B85" t="str">
        <x:v>SUPP_P012</x:v>
      </x:c>
      <x:c r="C85" t="str">
        <x:v>DE_MV_2021</x:v>
      </x:c>
      <x:c r="D85" t="str">
        <x:v>LINKE</x:v>
      </x:c>
      <x:c r="E85" s="20" t="n">
        <x:v>10</x:v>
      </x:c>
      <x:c r="F85" s="20" t="n">
        <x:v>9.9</x:v>
      </x:c>
      <x:c r="G85" s="20" t="n">
        <x:f>E85-F85</x:f>
        <x:v>0.09999999999999964</x:v>
      </x:c>
      <x:c r="H85" s="20" t="n">
        <x:f>ABS(G85)</x:f>
        <x:v>0.09999999999999964</x:v>
      </x:c>
      <x:c r="I85" s="20" t="n">
        <x:f>G85^2</x:f>
        <x:v>0.009999999999999929</x:v>
      </x:c>
    </x:row>
    <x:row r="86">
      <x:c r="A86" t="str">
        <x:v>SUPP_C012</x:v>
      </x:c>
      <x:c r="B86" t="str">
        <x:v>SUPP_P012</x:v>
      </x:c>
      <x:c r="C86" t="str">
        <x:v>DE_MV_2021</x:v>
      </x:c>
      <x:c r="D86" t="str">
        <x:v>AfD</x:v>
      </x:c>
      <x:c r="E86" s="20" t="n">
        <x:v>15</x:v>
      </x:c>
      <x:c r="F86" s="20" t="n">
        <x:v>16.7</x:v>
      </x:c>
      <x:c r="G86" s="20" t="n">
        <x:f>E86-F86</x:f>
        <x:v>-1.6999999999999993</x:v>
      </x:c>
      <x:c r="H86" s="20" t="n">
        <x:f>ABS(G86)</x:f>
        <x:v>1.6999999999999993</x:v>
      </x:c>
      <x:c r="I86" s="20" t="n">
        <x:f>G86^2</x:f>
        <x:v>2.8899999999999975</x:v>
      </x:c>
    </x:row>
    <x:row r="87">
      <x:c r="A87" t="str">
        <x:v>SUPP_C012</x:v>
      </x:c>
      <x:c r="B87" t="str">
        <x:v>SUPP_P012</x:v>
      </x:c>
      <x:c r="C87" t="str">
        <x:v>DE_MV_2021</x:v>
      </x:c>
      <x:c r="D87" t="str">
        <x:v>NPD</x:v>
      </x:c>
      <x:c r="E87" s="20" t="n">
        <x:v>0</x:v>
      </x:c>
      <x:c r="F87" s="20" t="n">
        <x:v>0.8</x:v>
      </x:c>
      <x:c r="G87" s="20" t="n">
        <x:f>E87-F87</x:f>
        <x:v>-0.8</x:v>
      </x:c>
      <x:c r="H87" s="20" t="n">
        <x:f>ABS(G87)</x:f>
        <x:v>0.8</x:v>
      </x:c>
      <x:c r="I87" s="20" t="n">
        <x:f>G87^2</x:f>
        <x:v>0.6400000000000001</x:v>
      </x:c>
    </x:row>
    <x:row r="88">
      <x:c r="A88" t="str">
        <x:v>SUPP_C012</x:v>
      </x:c>
      <x:c r="B88" t="str">
        <x:v>SUPP_P012</x:v>
      </x:c>
      <x:c r="C88" t="str">
        <x:v>DE_MV_2021</x:v>
      </x:c>
      <x:c r="D88" t="str">
        <x:v>Sonstige</x:v>
      </x:c>
      <x:c r="E88" s="20" t="n">
        <x:v>9</x:v>
      </x:c>
      <x:c r="F88" s="20" t="n">
        <x:v>7.6</x:v>
      </x:c>
      <x:c r="G88" s="20" t="n">
        <x:f>E88-F88</x:f>
        <x:v>1.4000000000000004</x:v>
      </x:c>
      <x:c r="H88" s="20" t="n">
        <x:f>ABS(G88)</x:f>
        <x:v>1.4000000000000004</x:v>
      </x:c>
      <x:c r="I88" s="20" t="n">
        <x:f>G88^2</x:f>
        <x:v>1.960000000000001</x:v>
      </x:c>
    </x:row>
    <x:row r="89">
      <x:c r="A89" t="str">
        <x:v>SUPP_C013</x:v>
      </x:c>
      <x:c r="B89" t="str">
        <x:v>SUPP_P013</x:v>
      </x:c>
      <x:c r="C89" t="str">
        <x:v>DE_BE_2021</x:v>
      </x:c>
      <x:c r="D89" t="str">
        <x:v>CDU</x:v>
      </x:c>
      <x:c r="E89" s="20" t="n">
        <x:v>15</x:v>
      </x:c>
      <x:c r="F89" s="20" t="n">
        <x:v>18</x:v>
      </x:c>
      <x:c r="G89" s="20" t="n">
        <x:f>E89-F89</x:f>
        <x:v>-3</x:v>
      </x:c>
      <x:c r="H89" s="20" t="n">
        <x:f>ABS(G89)</x:f>
        <x:v>3</x:v>
      </x:c>
      <x:c r="I89" s="20" t="n">
        <x:f>G89^2</x:f>
        <x:v>9</x:v>
      </x:c>
    </x:row>
    <x:row r="90">
      <x:c r="A90" t="str">
        <x:v>SUPP_C013</x:v>
      </x:c>
      <x:c r="B90" t="str">
        <x:v>SUPP_P013</x:v>
      </x:c>
      <x:c r="C90" t="str">
        <x:v>DE_BE_2021</x:v>
      </x:c>
      <x:c r="D90" t="str">
        <x:v>SPD</x:v>
      </x:c>
      <x:c r="E90" s="20" t="n">
        <x:v>23</x:v>
      </x:c>
      <x:c r="F90" s="20" t="n">
        <x:v>21.4</x:v>
      </x:c>
      <x:c r="G90" s="20" t="n">
        <x:f>E90-F90</x:f>
        <x:v>1.6000000000000014</x:v>
      </x:c>
      <x:c r="H90" s="20" t="n">
        <x:f>ABS(G90)</x:f>
        <x:v>1.6000000000000014</x:v>
      </x:c>
      <x:c r="I90" s="20" t="n">
        <x:f>G90^2</x:f>
        <x:v>2.5600000000000045</x:v>
      </x:c>
    </x:row>
    <x:row r="91">
      <x:c r="A91" t="str">
        <x:v>SUPP_C013</x:v>
      </x:c>
      <x:c r="B91" t="str">
        <x:v>SUPP_P013</x:v>
      </x:c>
      <x:c r="C91" t="str">
        <x:v>DE_BE_2021</x:v>
      </x:c>
      <x:c r="D91" t="str">
        <x:v>GRÜNE</x:v>
      </x:c>
      <x:c r="E91" s="20" t="n">
        <x:v>17</x:v>
      </x:c>
      <x:c r="F91" s="20" t="n">
        <x:v>18.9</x:v>
      </x:c>
      <x:c r="G91" s="20" t="n">
        <x:f>E91-F91</x:f>
        <x:v>-1.8999999999999986</x:v>
      </x:c>
      <x:c r="H91" s="20" t="n">
        <x:f>ABS(G91)</x:f>
        <x:v>1.8999999999999986</x:v>
      </x:c>
      <x:c r="I91" s="20" t="n">
        <x:f>G91^2</x:f>
        <x:v>3.6099999999999945</x:v>
      </x:c>
    </x:row>
    <x:row r="92">
      <x:c r="A92" t="str">
        <x:v>SUPP_C013</x:v>
      </x:c>
      <x:c r="B92" t="str">
        <x:v>SUPP_P013</x:v>
      </x:c>
      <x:c r="C92" t="str">
        <x:v>DE_BE_2021</x:v>
      </x:c>
      <x:c r="D92" t="str">
        <x:v>FDP</x:v>
      </x:c>
      <x:c r="E92" s="20" t="n">
        <x:v>8</x:v>
      </x:c>
      <x:c r="F92" s="20" t="n">
        <x:v>7.1</x:v>
      </x:c>
      <x:c r="G92" s="20" t="n">
        <x:f>E92-F92</x:f>
        <x:v>0.9000000000000004</x:v>
      </x:c>
      <x:c r="H92" s="20" t="n">
        <x:f>ABS(G92)</x:f>
        <x:v>0.9000000000000004</x:v>
      </x:c>
      <x:c r="I92" s="20" t="n">
        <x:f>G92^2</x:f>
        <x:v>0.8100000000000006</x:v>
      </x:c>
    </x:row>
    <x:row r="93">
      <x:c r="A93" t="str">
        <x:v>SUPP_C013</x:v>
      </x:c>
      <x:c r="B93" t="str">
        <x:v>SUPP_P013</x:v>
      </x:c>
      <x:c r="C93" t="str">
        <x:v>DE_BE_2021</x:v>
      </x:c>
      <x:c r="D93" t="str">
        <x:v>LINKE</x:v>
      </x:c>
      <x:c r="E93" s="20" t="n">
        <x:v>14</x:v>
      </x:c>
      <x:c r="F93" s="20" t="n">
        <x:v>14.1</x:v>
      </x:c>
      <x:c r="G93" s="20" t="n">
        <x:f>E93-F93</x:f>
        <x:v>-0.09999999999999964</x:v>
      </x:c>
      <x:c r="H93" s="20" t="n">
        <x:f>ABS(G93)</x:f>
        <x:v>0.09999999999999964</x:v>
      </x:c>
      <x:c r="I93" s="20" t="n">
        <x:f>G93^2</x:f>
        <x:v>0.009999999999999929</x:v>
      </x:c>
    </x:row>
    <x:row r="94">
      <x:c r="A94" t="str">
        <x:v>SUPP_C013</x:v>
      </x:c>
      <x:c r="B94" t="str">
        <x:v>SUPP_P013</x:v>
      </x:c>
      <x:c r="C94" t="str">
        <x:v>DE_BE_2021</x:v>
      </x:c>
      <x:c r="D94" t="str">
        <x:v>AfD</x:v>
      </x:c>
      <x:c r="E94" s="20" t="n">
        <x:v>11</x:v>
      </x:c>
      <x:c r="F94" s="20" t="n">
        <x:v>8</x:v>
      </x:c>
      <x:c r="G94" s="20" t="n">
        <x:f>E94-F94</x:f>
        <x:v>3</x:v>
      </x:c>
      <x:c r="H94" s="20" t="n">
        <x:f>ABS(G94)</x:f>
        <x:v>3</x:v>
      </x:c>
      <x:c r="I94" s="20" t="n">
        <x:f>G94^2</x:f>
        <x:v>9</x:v>
      </x:c>
    </x:row>
    <x:row r="95">
      <x:c r="A95" t="str">
        <x:v>SUPP_C013</x:v>
      </x:c>
      <x:c r="B95" t="str">
        <x:v>SUPP_P013</x:v>
      </x:c>
      <x:c r="C95" t="str">
        <x:v>DE_BE_2021</x:v>
      </x:c>
      <x:c r="D95" t="str">
        <x:v>Sonstige inkl. TSP/FW</x:v>
      </x:c>
      <x:c r="E95" s="20" t="n">
        <x:v>12</x:v>
      </x:c>
      <x:c r="F95" s="20" t="n">
        <x:v>12.4</x:v>
      </x:c>
      <x:c r="G95" s="20" t="n">
        <x:f>E95-F95</x:f>
        <x:v>-0.40000000000000036</x:v>
      </x:c>
      <x:c r="H95" s="20" t="n">
        <x:f>ABS(G95)</x:f>
        <x:v>0.40000000000000036</x:v>
      </x:c>
      <x:c r="I95" s="20" t="n">
        <x:f>G95^2</x:f>
        <x:v>0.16000000000000028</x:v>
      </x:c>
    </x:row>
    <x:row r="96">
      <x:c r="A96" t="str">
        <x:v>SUPP_C014</x:v>
      </x:c>
      <x:c r="B96" t="str">
        <x:v>SUPP_P014</x:v>
      </x:c>
      <x:c r="C96" t="str">
        <x:v>DE_BE_2021</x:v>
      </x:c>
      <x:c r="D96" t="str">
        <x:v>CDU</x:v>
      </x:c>
      <x:c r="E96" s="20" t="n">
        <x:v>17</x:v>
      </x:c>
      <x:c r="F96" s="20" t="n">
        <x:v>18</x:v>
      </x:c>
      <x:c r="G96" s="20" t="n">
        <x:f>E96-F96</x:f>
        <x:v>-1</x:v>
      </x:c>
      <x:c r="H96" s="20" t="n">
        <x:f>ABS(G96)</x:f>
        <x:v>1</x:v>
      </x:c>
      <x:c r="I96" s="20" t="n">
        <x:f>G96^2</x:f>
        <x:v>1</x:v>
      </x:c>
    </x:row>
    <x:row r="97">
      <x:c r="A97" t="str">
        <x:v>SUPP_C014</x:v>
      </x:c>
      <x:c r="B97" t="str">
        <x:v>SUPP_P014</x:v>
      </x:c>
      <x:c r="C97" t="str">
        <x:v>DE_BE_2021</x:v>
      </x:c>
      <x:c r="D97" t="str">
        <x:v>SPD</x:v>
      </x:c>
      <x:c r="E97" s="20" t="n">
        <x:v>22</x:v>
      </x:c>
      <x:c r="F97" s="20" t="n">
        <x:v>21.4</x:v>
      </x:c>
      <x:c r="G97" s="20" t="n">
        <x:f>E97-F97</x:f>
        <x:v>0.6000000000000014</x:v>
      </x:c>
      <x:c r="H97" s="20" t="n">
        <x:f>ABS(G97)</x:f>
        <x:v>0.6000000000000014</x:v>
      </x:c>
      <x:c r="I97" s="20" t="n">
        <x:f>G97^2</x:f>
        <x:v>0.3600000000000017</x:v>
      </x:c>
    </x:row>
    <x:row r="98">
      <x:c r="A98" t="str">
        <x:v>SUPP_C014</x:v>
      </x:c>
      <x:c r="B98" t="str">
        <x:v>SUPP_P014</x:v>
      </x:c>
      <x:c r="C98" t="str">
        <x:v>DE_BE_2021</x:v>
      </x:c>
      <x:c r="D98" t="str">
        <x:v>GRÜNE</x:v>
      </x:c>
      <x:c r="E98" s="20" t="n">
        <x:v>19</x:v>
      </x:c>
      <x:c r="F98" s="20" t="n">
        <x:v>18.9</x:v>
      </x:c>
      <x:c r="G98" s="20" t="n">
        <x:f>E98-F98</x:f>
        <x:v>0.10000000000000142</x:v>
      </x:c>
      <x:c r="H98" s="20" t="n">
        <x:f>ABS(G98)</x:f>
        <x:v>0.10000000000000142</x:v>
      </x:c>
      <x:c r="I98" s="20" t="n">
        <x:f>G98^2</x:f>
        <x:v>0.010000000000000285</x:v>
      </x:c>
    </x:row>
    <x:row r="99">
      <x:c r="A99" t="str">
        <x:v>SUPP_C014</x:v>
      </x:c>
      <x:c r="B99" t="str">
        <x:v>SUPP_P014</x:v>
      </x:c>
      <x:c r="C99" t="str">
        <x:v>DE_BE_2021</x:v>
      </x:c>
      <x:c r="D99" t="str">
        <x:v>FDP</x:v>
      </x:c>
      <x:c r="E99" s="20" t="n">
        <x:v>7</x:v>
      </x:c>
      <x:c r="F99" s="20" t="n">
        <x:v>7.1</x:v>
      </x:c>
      <x:c r="G99" s="20" t="n">
        <x:f>E99-F99</x:f>
        <x:v>-0.09999999999999964</x:v>
      </x:c>
      <x:c r="H99" s="20" t="n">
        <x:f>ABS(G99)</x:f>
        <x:v>0.09999999999999964</x:v>
      </x:c>
      <x:c r="I99" s="20" t="n">
        <x:f>G99^2</x:f>
        <x:v>0.009999999999999929</x:v>
      </x:c>
    </x:row>
    <x:row r="100">
      <x:c r="A100" t="str">
        <x:v>SUPP_C014</x:v>
      </x:c>
      <x:c r="B100" t="str">
        <x:v>SUPP_P014</x:v>
      </x:c>
      <x:c r="C100" t="str">
        <x:v>DE_BE_2021</x:v>
      </x:c>
      <x:c r="D100" t="str">
        <x:v>LINKE</x:v>
      </x:c>
      <x:c r="E100" s="20" t="n">
        <x:v>13</x:v>
      </x:c>
      <x:c r="F100" s="20" t="n">
        <x:v>14.1</x:v>
      </x:c>
      <x:c r="G100" s="20" t="n">
        <x:f>E100-F100</x:f>
        <x:v>-1.0999999999999996</x:v>
      </x:c>
      <x:c r="H100" s="20" t="n">
        <x:f>ABS(G100)</x:f>
        <x:v>1.0999999999999996</x:v>
      </x:c>
      <x:c r="I100" s="20" t="n">
        <x:f>G100^2</x:f>
        <x:v>1.2099999999999993</x:v>
      </x:c>
    </x:row>
    <x:row r="101">
      <x:c r="A101" t="str">
        <x:v>SUPP_C014</x:v>
      </x:c>
      <x:c r="B101" t="str">
        <x:v>SUPP_P014</x:v>
      </x:c>
      <x:c r="C101" t="str">
        <x:v>DE_BE_2021</x:v>
      </x:c>
      <x:c r="D101" t="str">
        <x:v>AfD</x:v>
      </x:c>
      <x:c r="E101" s="20" t="n">
        <x:v>9</x:v>
      </x:c>
      <x:c r="F101" s="20" t="n">
        <x:v>8</x:v>
      </x:c>
      <x:c r="G101" s="20" t="n">
        <x:f>E101-F101</x:f>
        <x:v>1</x:v>
      </x:c>
      <x:c r="H101" s="20" t="n">
        <x:f>ABS(G101)</x:f>
        <x:v>1</x:v>
      </x:c>
      <x:c r="I101" s="20" t="n">
        <x:f>G101^2</x:f>
        <x:v>1</x:v>
      </x:c>
    </x:row>
    <x:row r="102">
      <x:c r="A102" t="str">
        <x:v>SUPP_C014</x:v>
      </x:c>
      <x:c r="B102" t="str">
        <x:v>SUPP_P014</x:v>
      </x:c>
      <x:c r="C102" t="str">
        <x:v>DE_BE_2021</x:v>
      </x:c>
      <x:c r="D102" t="str">
        <x:v>Sonstige inkl. TSP/FW</x:v>
      </x:c>
      <x:c r="E102" s="20" t="n">
        <x:v>13</x:v>
      </x:c>
      <x:c r="F102" s="20" t="n">
        <x:v>12.4</x:v>
      </x:c>
      <x:c r="G102" s="20" t="n">
        <x:f>E102-F102</x:f>
        <x:v>0.5999999999999996</x:v>
      </x:c>
      <x:c r="H102" s="20" t="n">
        <x:f>ABS(G102)</x:f>
        <x:v>0.5999999999999996</x:v>
      </x:c>
      <x:c r="I102" s="20" t="n">
        <x:f>G102^2</x:f>
        <x:v>0.3599999999999996</x:v>
      </x:c>
    </x:row>
    <x:row r="103">
      <x:c r="A103" t="str">
        <x:v>SUPP_C015</x:v>
      </x:c>
      <x:c r="B103" t="str">
        <x:v>SUPP_P015</x:v>
      </x:c>
      <x:c r="C103" t="str">
        <x:v>DE_BE_2021</x:v>
      </x:c>
      <x:c r="D103" t="str">
        <x:v>CDU</x:v>
      </x:c>
      <x:c r="E103" s="20" t="n">
        <x:v>16</x:v>
      </x:c>
      <x:c r="F103" s="20" t="n">
        <x:v>18</x:v>
      </x:c>
      <x:c r="G103" s="20" t="n">
        <x:f>E103-F103</x:f>
        <x:v>-2</x:v>
      </x:c>
      <x:c r="H103" s="20" t="n">
        <x:f>ABS(G103)</x:f>
        <x:v>2</x:v>
      </x:c>
      <x:c r="I103" s="20" t="n">
        <x:f>G103^2</x:f>
        <x:v>4</x:v>
      </x:c>
    </x:row>
    <x:row r="104">
      <x:c r="A104" t="str">
        <x:v>SUPP_C015</x:v>
      </x:c>
      <x:c r="B104" t="str">
        <x:v>SUPP_P015</x:v>
      </x:c>
      <x:c r="C104" t="str">
        <x:v>DE_BE_2021</x:v>
      </x:c>
      <x:c r="D104" t="str">
        <x:v>SPD</x:v>
      </x:c>
      <x:c r="E104" s="20" t="n">
        <x:v>24</x:v>
      </x:c>
      <x:c r="F104" s="20" t="n">
        <x:v>21.4</x:v>
      </x:c>
      <x:c r="G104" s="20" t="n">
        <x:f>E104-F104</x:f>
        <x:v>2.6000000000000014</x:v>
      </x:c>
      <x:c r="H104" s="20" t="n">
        <x:f>ABS(G104)</x:f>
        <x:v>2.6000000000000014</x:v>
      </x:c>
      <x:c r="I104" s="20" t="n">
        <x:f>G104^2</x:f>
        <x:v>6.760000000000008</x:v>
      </x:c>
    </x:row>
    <x:row r="105">
      <x:c r="A105" t="str">
        <x:v>SUPP_C015</x:v>
      </x:c>
      <x:c r="B105" t="str">
        <x:v>SUPP_P015</x:v>
      </x:c>
      <x:c r="C105" t="str">
        <x:v>DE_BE_2021</x:v>
      </x:c>
      <x:c r="D105" t="str">
        <x:v>GRÜNE</x:v>
      </x:c>
      <x:c r="E105" s="20" t="n">
        <x:v>18</x:v>
      </x:c>
      <x:c r="F105" s="20" t="n">
        <x:v>18.9</x:v>
      </x:c>
      <x:c r="G105" s="20" t="n">
        <x:f>E105-F105</x:f>
        <x:v>-0.8999999999999986</x:v>
      </x:c>
      <x:c r="H105" s="20" t="n">
        <x:f>ABS(G105)</x:f>
        <x:v>0.8999999999999986</x:v>
      </x:c>
      <x:c r="I105" s="20" t="n">
        <x:f>G105^2</x:f>
        <x:v>0.8099999999999974</x:v>
      </x:c>
    </x:row>
    <x:row r="106">
      <x:c r="A106" t="str">
        <x:v>SUPP_C015</x:v>
      </x:c>
      <x:c r="B106" t="str">
        <x:v>SUPP_P015</x:v>
      </x:c>
      <x:c r="C106" t="str">
        <x:v>DE_BE_2021</x:v>
      </x:c>
      <x:c r="D106" t="str">
        <x:v>FDP</x:v>
      </x:c>
      <x:c r="E106" s="20" t="n">
        <x:v>7</x:v>
      </x:c>
      <x:c r="F106" s="20" t="n">
        <x:v>7.1</x:v>
      </x:c>
      <x:c r="G106" s="20" t="n">
        <x:f>E106-F106</x:f>
        <x:v>-0.09999999999999964</x:v>
      </x:c>
      <x:c r="H106" s="20" t="n">
        <x:f>ABS(G106)</x:f>
        <x:v>0.09999999999999964</x:v>
      </x:c>
      <x:c r="I106" s="20" t="n">
        <x:f>G106^2</x:f>
        <x:v>0.009999999999999929</x:v>
      </x:c>
    </x:row>
    <x:row r="107">
      <x:c r="A107" t="str">
        <x:v>SUPP_C015</x:v>
      </x:c>
      <x:c r="B107" t="str">
        <x:v>SUPP_P015</x:v>
      </x:c>
      <x:c r="C107" t="str">
        <x:v>DE_BE_2021</x:v>
      </x:c>
      <x:c r="D107" t="str">
        <x:v>LINKE</x:v>
      </x:c>
      <x:c r="E107" s="20" t="n">
        <x:v>13</x:v>
      </x:c>
      <x:c r="F107" s="20" t="n">
        <x:v>14.1</x:v>
      </x:c>
      <x:c r="G107" s="20" t="n">
        <x:f>E107-F107</x:f>
        <x:v>-1.0999999999999996</x:v>
      </x:c>
      <x:c r="H107" s="20" t="n">
        <x:f>ABS(G107)</x:f>
        <x:v>1.0999999999999996</x:v>
      </x:c>
      <x:c r="I107" s="20" t="n">
        <x:f>G107^2</x:f>
        <x:v>1.2099999999999993</x:v>
      </x:c>
    </x:row>
    <x:row r="108">
      <x:c r="A108" t="str">
        <x:v>SUPP_C015</x:v>
      </x:c>
      <x:c r="B108" t="str">
        <x:v>SUPP_P015</x:v>
      </x:c>
      <x:c r="C108" t="str">
        <x:v>DE_BE_2021</x:v>
      </x:c>
      <x:c r="D108" t="str">
        <x:v>AfD</x:v>
      </x:c>
      <x:c r="E108" s="20" t="n">
        <x:v>10</x:v>
      </x:c>
      <x:c r="F108" s="20" t="n">
        <x:v>8</x:v>
      </x:c>
      <x:c r="G108" s="20" t="n">
        <x:f>E108-F108</x:f>
        <x:v>2</x:v>
      </x:c>
      <x:c r="H108" s="20" t="n">
        <x:f>ABS(G108)</x:f>
        <x:v>2</x:v>
      </x:c>
      <x:c r="I108" s="20" t="n">
        <x:f>G108^2</x:f>
        <x:v>4</x:v>
      </x:c>
    </x:row>
    <x:row r="109">
      <x:c r="A109" t="str">
        <x:v>SUPP_C015</x:v>
      </x:c>
      <x:c r="B109" t="str">
        <x:v>SUPP_P015</x:v>
      </x:c>
      <x:c r="C109" t="str">
        <x:v>DE_BE_2021</x:v>
      </x:c>
      <x:c r="D109" t="str">
        <x:v>Sonstige inkl. TSP/FW</x:v>
      </x:c>
      <x:c r="E109" s="20" t="n">
        <x:v>12</x:v>
      </x:c>
      <x:c r="F109" s="20" t="n">
        <x:v>12.4</x:v>
      </x:c>
      <x:c r="G109" s="20" t="n">
        <x:f>E109-F109</x:f>
        <x:v>-0.40000000000000036</x:v>
      </x:c>
      <x:c r="H109" s="20" t="n">
        <x:f>ABS(G109)</x:f>
        <x:v>0.40000000000000036</x:v>
      </x:c>
      <x:c r="I109" s="20" t="n">
        <x:f>G109^2</x:f>
        <x:v>0.16000000000000028</x:v>
      </x:c>
    </x:row>
    <x:row r="110">
      <x:c r="A110" t="str">
        <x:v>SUPP_C016</x:v>
      </x:c>
      <x:c r="B110" t="str">
        <x:v>SUPP_P016</x:v>
      </x:c>
      <x:c r="C110" t="str">
        <x:v>DE_NW_2022</x:v>
      </x:c>
      <x:c r="D110" t="str">
        <x:v>CDU</x:v>
      </x:c>
      <x:c r="E110" s="20" t="n">
        <x:v>30</x:v>
      </x:c>
      <x:c r="F110" s="20" t="n">
        <x:v>35.7</x:v>
      </x:c>
      <x:c r="G110" s="20" t="n">
        <x:f>E110-F110</x:f>
        <x:v>-5.700000000000003</x:v>
      </x:c>
      <x:c r="H110" s="20" t="n">
        <x:f>ABS(G110)</x:f>
        <x:v>5.700000000000003</x:v>
      </x:c>
      <x:c r="I110" s="20" t="n">
        <x:f>G110^2</x:f>
        <x:v>32.49000000000003</x:v>
      </x:c>
    </x:row>
    <x:row r="111">
      <x:c r="A111" t="str">
        <x:v>SUPP_C016</x:v>
      </x:c>
      <x:c r="B111" t="str">
        <x:v>SUPP_P016</x:v>
      </x:c>
      <x:c r="C111" t="str">
        <x:v>DE_NW_2022</x:v>
      </x:c>
      <x:c r="D111" t="str">
        <x:v>SPD</x:v>
      </x:c>
      <x:c r="E111" s="20" t="n">
        <x:v>29.5</x:v>
      </x:c>
      <x:c r="F111" s="20" t="n">
        <x:v>26.7</x:v>
      </x:c>
      <x:c r="G111" s="20" t="n">
        <x:f>E111-F111</x:f>
        <x:v>2.8000000000000007</x:v>
      </x:c>
      <x:c r="H111" s="20" t="n">
        <x:f>ABS(G111)</x:f>
        <x:v>2.8000000000000007</x:v>
      </x:c>
      <x:c r="I111" s="20" t="n">
        <x:f>G111^2</x:f>
        <x:v>7.840000000000004</x:v>
      </x:c>
    </x:row>
    <x:row r="112">
      <x:c r="A112" t="str">
        <x:v>SUPP_C016</x:v>
      </x:c>
      <x:c r="B112" t="str">
        <x:v>SUPP_P016</x:v>
      </x:c>
      <x:c r="C112" t="str">
        <x:v>DE_NW_2022</x:v>
      </x:c>
      <x:c r="D112" t="str">
        <x:v>GRÜNE</x:v>
      </x:c>
      <x:c r="E112" s="20" t="n">
        <x:v>16.5</x:v>
      </x:c>
      <x:c r="F112" s="20" t="n">
        <x:v>18.2</x:v>
      </x:c>
      <x:c r="G112" s="20" t="n">
        <x:f>E112-F112</x:f>
        <x:v>-1.6999999999999993</x:v>
      </x:c>
      <x:c r="H112" s="20" t="n">
        <x:f>ABS(G112)</x:f>
        <x:v>1.6999999999999993</x:v>
      </x:c>
      <x:c r="I112" s="20" t="n">
        <x:f>G112^2</x:f>
        <x:v>2.8899999999999975</x:v>
      </x:c>
    </x:row>
    <x:row r="113">
      <x:c r="A113" t="str">
        <x:v>SUPP_C016</x:v>
      </x:c>
      <x:c r="B113" t="str">
        <x:v>SUPP_P016</x:v>
      </x:c>
      <x:c r="C113" t="str">
        <x:v>DE_NW_2022</x:v>
      </x:c>
      <x:c r="D113" t="str">
        <x:v>FDP</x:v>
      </x:c>
      <x:c r="E113" s="20" t="n">
        <x:v>9</x:v>
      </x:c>
      <x:c r="F113" s="20" t="n">
        <x:v>5.9</x:v>
      </x:c>
      <x:c r="G113" s="20" t="n">
        <x:f>E113-F113</x:f>
        <x:v>3.0999999999999996</x:v>
      </x:c>
      <x:c r="H113" s="20" t="n">
        <x:f>ABS(G113)</x:f>
        <x:v>3.0999999999999996</x:v>
      </x:c>
      <x:c r="I113" s="20" t="n">
        <x:f>G113^2</x:f>
        <x:v>9.609999999999998</x:v>
      </x:c>
    </x:row>
    <x:row r="114">
      <x:c r="A114" t="str">
        <x:v>SUPP_C016</x:v>
      </x:c>
      <x:c r="B114" t="str">
        <x:v>SUPP_P016</x:v>
      </x:c>
      <x:c r="C114" t="str">
        <x:v>DE_NW_2022</x:v>
      </x:c>
      <x:c r="D114" t="str">
        <x:v>LINKE</x:v>
      </x:c>
      <x:c r="E114" s="20" t="n">
        <x:v>2.5</x:v>
      </x:c>
      <x:c r="F114" s="20" t="n">
        <x:v>2.1</x:v>
      </x:c>
      <x:c r="G114" s="20" t="n">
        <x:f>E114-F114</x:f>
        <x:v>0.3999999999999999</x:v>
      </x:c>
      <x:c r="H114" s="20" t="n">
        <x:f>ABS(G114)</x:f>
        <x:v>0.3999999999999999</x:v>
      </x:c>
      <x:c r="I114" s="20" t="n">
        <x:f>G114^2</x:f>
        <x:v>0.15999999999999992</x:v>
      </x:c>
    </x:row>
    <x:row r="115">
      <x:c r="A115" t="str">
        <x:v>SUPP_C016</x:v>
      </x:c>
      <x:c r="B115" t="str">
        <x:v>SUPP_P016</x:v>
      </x:c>
      <x:c r="C115" t="str">
        <x:v>DE_NW_2022</x:v>
      </x:c>
      <x:c r="D115" t="str">
        <x:v>AfD</x:v>
      </x:c>
      <x:c r="E115" s="20" t="n">
        <x:v>7</x:v>
      </x:c>
      <x:c r="F115" s="20" t="n">
        <x:v>5.4</x:v>
      </x:c>
      <x:c r="G115" s="20" t="n">
        <x:f>E115-F115</x:f>
        <x:v>1.5999999999999996</x:v>
      </x:c>
      <x:c r="H115" s="20" t="n">
        <x:f>ABS(G115)</x:f>
        <x:v>1.5999999999999996</x:v>
      </x:c>
      <x:c r="I115" s="20" t="n">
        <x:f>G115^2</x:f>
        <x:v>2.5599999999999987</x:v>
      </x:c>
    </x:row>
    <x:row r="116">
      <x:c r="A116" t="str">
        <x:v>SUPP_C016</x:v>
      </x:c>
      <x:c r="B116" t="str">
        <x:v>SUPP_P016</x:v>
      </x:c>
      <x:c r="C116" t="str">
        <x:v>DE_NW_2022</x:v>
      </x:c>
      <x:c r="D116" t="str">
        <x:v>Sonstige</x:v>
      </x:c>
      <x:c r="E116" s="20" t="n">
        <x:v>5.5</x:v>
      </x:c>
      <x:c r="F116" s="20" t="n">
        <x:v>6.1</x:v>
      </x:c>
      <x:c r="G116" s="20" t="n">
        <x:f>E116-F116</x:f>
        <x:v>-0.5999999999999996</x:v>
      </x:c>
      <x:c r="H116" s="20" t="n">
        <x:f>ABS(G116)</x:f>
        <x:v>0.5999999999999996</x:v>
      </x:c>
      <x:c r="I116" s="20" t="n">
        <x:f>G116^2</x:f>
        <x:v>0.3599999999999996</x:v>
      </x:c>
    </x:row>
    <x:row r="117">
      <x:c r="A117" t="str">
        <x:v>SUPP_C017</x:v>
      </x:c>
      <x:c r="B117" t="str">
        <x:v>SUPP_P017</x:v>
      </x:c>
      <x:c r="C117" t="str">
        <x:v>DE_HB_2023</x:v>
      </x:c>
      <x:c r="D117" t="str">
        <x:v>CDU</x:v>
      </x:c>
      <x:c r="E117" s="20" t="n">
        <x:v>25.5</x:v>
      </x:c>
      <x:c r="F117" s="20" t="n">
        <x:v>26.2</x:v>
      </x:c>
      <x:c r="G117" s="20" t="n">
        <x:f>E117-F117</x:f>
        <x:v>-0.6999999999999993</x:v>
      </x:c>
      <x:c r="H117" s="20" t="n">
        <x:f>ABS(G117)</x:f>
        <x:v>0.6999999999999993</x:v>
      </x:c>
      <x:c r="I117" s="20" t="n">
        <x:f>G117^2</x:f>
        <x:v>0.489999999999999</x:v>
      </x:c>
    </x:row>
    <x:row r="118">
      <x:c r="A118" t="str">
        <x:v>SUPP_C017</x:v>
      </x:c>
      <x:c r="B118" t="str">
        <x:v>SUPP_P017</x:v>
      </x:c>
      <x:c r="C118" t="str">
        <x:v>DE_HB_2023</x:v>
      </x:c>
      <x:c r="D118" t="str">
        <x:v>SPD</x:v>
      </x:c>
      <x:c r="E118" s="20" t="n">
        <x:v>29</x:v>
      </x:c>
      <x:c r="F118" s="20" t="n">
        <x:v>29.8</x:v>
      </x:c>
      <x:c r="G118" s="20" t="n">
        <x:f>E118-F118</x:f>
        <x:v>-0.8000000000000007</x:v>
      </x:c>
      <x:c r="H118" s="20" t="n">
        <x:f>ABS(G118)</x:f>
        <x:v>0.8000000000000007</x:v>
      </x:c>
      <x:c r="I118" s="20" t="n">
        <x:f>G118^2</x:f>
        <x:v>0.6400000000000011</x:v>
      </x:c>
    </x:row>
    <x:row r="119">
      <x:c r="A119" t="str">
        <x:v>SUPP_C017</x:v>
      </x:c>
      <x:c r="B119" t="str">
        <x:v>SUPP_P017</x:v>
      </x:c>
      <x:c r="C119" t="str">
        <x:v>DE_HB_2023</x:v>
      </x:c>
      <x:c r="D119" t="str">
        <x:v>GRÜNE</x:v>
      </x:c>
      <x:c r="E119" s="20" t="n">
        <x:v>13</x:v>
      </x:c>
      <x:c r="F119" s="20" t="n">
        <x:v>11.9</x:v>
      </x:c>
      <x:c r="G119" s="20" t="n">
        <x:f>E119-F119</x:f>
        <x:v>1.0999999999999996</x:v>
      </x:c>
      <x:c r="H119" s="20" t="n">
        <x:f>ABS(G119)</x:f>
        <x:v>1.0999999999999996</x:v>
      </x:c>
      <x:c r="I119" s="20" t="n">
        <x:f>G119^2</x:f>
        <x:v>1.2099999999999993</x:v>
      </x:c>
    </x:row>
    <x:row r="120">
      <x:c r="A120" t="str">
        <x:v>SUPP_C017</x:v>
      </x:c>
      <x:c r="B120" t="str">
        <x:v>SUPP_P017</x:v>
      </x:c>
      <x:c r="C120" t="str">
        <x:v>DE_HB_2023</x:v>
      </x:c>
      <x:c r="D120" t="str">
        <x:v>FDP</x:v>
      </x:c>
      <x:c r="E120" s="20" t="n">
        <x:v>5.5</x:v>
      </x:c>
      <x:c r="F120" s="20" t="n">
        <x:v>5.1</x:v>
      </x:c>
      <x:c r="G120" s="20" t="n">
        <x:f>E120-F120</x:f>
        <x:v>0.40000000000000036</x:v>
      </x:c>
      <x:c r="H120" s="20" t="n">
        <x:f>ABS(G120)</x:f>
        <x:v>0.40000000000000036</x:v>
      </x:c>
      <x:c r="I120" s="20" t="n">
        <x:f>G120^2</x:f>
        <x:v>0.16000000000000028</x:v>
      </x:c>
    </x:row>
    <x:row r="121">
      <x:c r="A121" t="str">
        <x:v>SUPP_C017</x:v>
      </x:c>
      <x:c r="B121" t="str">
        <x:v>SUPP_P017</x:v>
      </x:c>
      <x:c r="C121" t="str">
        <x:v>DE_HB_2023</x:v>
      </x:c>
      <x:c r="D121" t="str">
        <x:v>LINKE</x:v>
      </x:c>
      <x:c r="E121" s="20" t="n">
        <x:v>11</x:v>
      </x:c>
      <x:c r="F121" s="20" t="n">
        <x:v>10.9</x:v>
      </x:c>
      <x:c r="G121" s="20" t="n">
        <x:f>E121-F121</x:f>
        <x:v>0.09999999999999964</x:v>
      </x:c>
      <x:c r="H121" s="20" t="n">
        <x:f>ABS(G121)</x:f>
        <x:v>0.09999999999999964</x:v>
      </x:c>
      <x:c r="I121" s="20" t="n">
        <x:f>G121^2</x:f>
        <x:v>0.009999999999999929</x:v>
      </x:c>
    </x:row>
    <x:row r="122">
      <x:c r="A122" t="str">
        <x:v>SUPP_C017</x:v>
      </x:c>
      <x:c r="B122" t="str">
        <x:v>SUPP_P017</x:v>
      </x:c>
      <x:c r="C122" t="str">
        <x:v>DE_HB_2023</x:v>
      </x:c>
      <x:c r="D122" t="str">
        <x:v>BD/BIW</x:v>
      </x:c>
      <x:c r="E122" s="20" t="n">
        <x:v>10</x:v>
      </x:c>
      <x:c r="F122" s="20" t="n">
        <x:v>9.4</x:v>
      </x:c>
      <x:c r="G122" s="20" t="n">
        <x:f>E122-F122</x:f>
        <x:v>0.5999999999999996</x:v>
      </x:c>
      <x:c r="H122" s="20" t="n">
        <x:f>ABS(G122)</x:f>
        <x:v>0.5999999999999996</x:v>
      </x:c>
      <x:c r="I122" s="20" t="n">
        <x:f>G122^2</x:f>
        <x:v>0.3599999999999996</x:v>
      </x:c>
    </x:row>
    <x:row r="123">
      <x:c r="A123" t="str">
        <x:v>SUPP_C017</x:v>
      </x:c>
      <x:c r="B123" t="str">
        <x:v>SUPP_P017</x:v>
      </x:c>
      <x:c r="C123" t="str">
        <x:v>DE_HB_2023</x:v>
      </x:c>
      <x:c r="D123" t="str">
        <x:v>Sonstige</x:v>
      </x:c>
      <x:c r="E123" s="20" t="n">
        <x:v>6</x:v>
      </x:c>
      <x:c r="F123" s="20" t="n">
        <x:v>6.7</x:v>
      </x:c>
      <x:c r="G123" s="20" t="n">
        <x:f>E123-F123</x:f>
        <x:v>-0.7000000000000002</x:v>
      </x:c>
      <x:c r="H123" s="20" t="n">
        <x:f>ABS(G123)</x:f>
        <x:v>0.7000000000000002</x:v>
      </x:c>
      <x:c r="I123" s="20" t="n">
        <x:f>G123^2</x:f>
        <x:v>0.49000000000000027</x:v>
      </x:c>
    </x:row>
    <x:row r="124">
      <x:c r="A124" t="str">
        <x:v>SUPP_C018</x:v>
      </x:c>
      <x:c r="B124" t="str">
        <x:v>SUPP_P018</x:v>
      </x:c>
      <x:c r="C124" t="str">
        <x:v>DE_MV_2021</x:v>
      </x:c>
      <x:c r="D124" t="str">
        <x:v>CDU</x:v>
      </x:c>
      <x:c r="E124" s="20" t="n">
        <x:v>13</x:v>
      </x:c>
      <x:c r="F124" s="20" t="n">
        <x:v>13.3</x:v>
      </x:c>
      <x:c r="G124" s="20" t="n">
        <x:f>E124-F124</x:f>
        <x:v>-0.3000000000000007</x:v>
      </x:c>
      <x:c r="H124" s="20" t="n">
        <x:f>ABS(G124)</x:f>
        <x:v>0.3000000000000007</x:v>
      </x:c>
      <x:c r="I124" s="20" t="n">
        <x:f>G124^2</x:f>
        <x:v>0.09000000000000043</x:v>
      </x:c>
    </x:row>
    <x:row r="125">
      <x:c r="A125" t="str">
        <x:v>SUPP_C018</x:v>
      </x:c>
      <x:c r="B125" t="str">
        <x:v>SUPP_P018</x:v>
      </x:c>
      <x:c r="C125" t="str">
        <x:v>DE_MV_2021</x:v>
      </x:c>
      <x:c r="D125" t="str">
        <x:v>SPD</x:v>
      </x:c>
      <x:c r="E125" s="20" t="n">
        <x:v>39</x:v>
      </x:c>
      <x:c r="F125" s="20" t="n">
        <x:v>39.6</x:v>
      </x:c>
      <x:c r="G125" s="20" t="n">
        <x:f>E125-F125</x:f>
        <x:v>-0.6000000000000014</x:v>
      </x:c>
      <x:c r="H125" s="20" t="n">
        <x:f>ABS(G125)</x:f>
        <x:v>0.6000000000000014</x:v>
      </x:c>
      <x:c r="I125" s="20" t="n">
        <x:f>G125^2</x:f>
        <x:v>0.3600000000000017</x:v>
      </x:c>
    </x:row>
    <x:row r="126">
      <x:c r="A126" t="str">
        <x:v>SUPP_C018</x:v>
      </x:c>
      <x:c r="B126" t="str">
        <x:v>SUPP_P018</x:v>
      </x:c>
      <x:c r="C126" t="str">
        <x:v>DE_MV_2021</x:v>
      </x:c>
      <x:c r="D126" t="str">
        <x:v>GRÜNE</x:v>
      </x:c>
      <x:c r="E126" s="20" t="n">
        <x:v>5</x:v>
      </x:c>
      <x:c r="F126" s="20" t="n">
        <x:v>6.3</x:v>
      </x:c>
      <x:c r="G126" s="20" t="n">
        <x:f>E126-F126</x:f>
        <x:v>-1.2999999999999998</x:v>
      </x:c>
      <x:c r="H126" s="20" t="n">
        <x:f>ABS(G126)</x:f>
        <x:v>1.2999999999999998</x:v>
      </x:c>
      <x:c r="I126" s="20" t="n">
        <x:f>G126^2</x:f>
        <x:v>1.6899999999999995</x:v>
      </x:c>
    </x:row>
    <x:row r="127">
      <x:c r="A127" t="str">
        <x:v>SUPP_C018</x:v>
      </x:c>
      <x:c r="B127" t="str">
        <x:v>SUPP_P018</x:v>
      </x:c>
      <x:c r="C127" t="str">
        <x:v>DE_MV_2021</x:v>
      </x:c>
      <x:c r="D127" t="str">
        <x:v>FDP</x:v>
      </x:c>
      <x:c r="E127" s="20" t="n">
        <x:v>8</x:v>
      </x:c>
      <x:c r="F127" s="20" t="n">
        <x:v>5.8</x:v>
      </x:c>
      <x:c r="G127" s="20" t="n">
        <x:f>E127-F127</x:f>
        <x:v>2.2</x:v>
      </x:c>
      <x:c r="H127" s="20" t="n">
        <x:f>ABS(G127)</x:f>
        <x:v>2.2</x:v>
      </x:c>
      <x:c r="I127" s="20" t="n">
        <x:f>G127^2</x:f>
        <x:v>4.840000000000001</x:v>
      </x:c>
    </x:row>
    <x:row r="128">
      <x:c r="A128" t="str">
        <x:v>SUPP_C018</x:v>
      </x:c>
      <x:c r="B128" t="str">
        <x:v>SUPP_P018</x:v>
      </x:c>
      <x:c r="C128" t="str">
        <x:v>DE_MV_2021</x:v>
      </x:c>
      <x:c r="D128" t="str">
        <x:v>LINKE</x:v>
      </x:c>
      <x:c r="E128" s="20" t="n">
        <x:v>11</x:v>
      </x:c>
      <x:c r="F128" s="20" t="n">
        <x:v>9.9</x:v>
      </x:c>
      <x:c r="G128" s="20" t="n">
        <x:f>E128-F128</x:f>
        <x:v>1.0999999999999996</x:v>
      </x:c>
      <x:c r="H128" s="20" t="n">
        <x:f>ABS(G128)</x:f>
        <x:v>1.0999999999999996</x:v>
      </x:c>
      <x:c r="I128" s="20" t="n">
        <x:f>G128^2</x:f>
        <x:v>1.2099999999999993</x:v>
      </x:c>
    </x:row>
    <x:row r="129">
      <x:c r="A129" t="str">
        <x:v>SUPP_C018</x:v>
      </x:c>
      <x:c r="B129" t="str">
        <x:v>SUPP_P018</x:v>
      </x:c>
      <x:c r="C129" t="str">
        <x:v>DE_MV_2021</x:v>
      </x:c>
      <x:c r="D129" t="str">
        <x:v>AfD</x:v>
      </x:c>
      <x:c r="E129" s="20" t="n">
        <x:v>18</x:v>
      </x:c>
      <x:c r="F129" s="20" t="n">
        <x:v>16.7</x:v>
      </x:c>
      <x:c r="G129" s="20" t="n">
        <x:f>E129-F129</x:f>
        <x:v>1.3000000000000007</x:v>
      </x:c>
      <x:c r="H129" s="20" t="n">
        <x:f>ABS(G129)</x:f>
        <x:v>1.3000000000000007</x:v>
      </x:c>
      <x:c r="I129" s="20" t="n">
        <x:f>G129^2</x:f>
        <x:v>1.690000000000002</x:v>
      </x:c>
    </x:row>
    <x:row r="130">
      <x:c r="A130" t="str">
        <x:v>SUPP_C018</x:v>
      </x:c>
      <x:c r="B130" t="str">
        <x:v>SUPP_P018</x:v>
      </x:c>
      <x:c r="C130" t="str">
        <x:v>DE_MV_2021</x:v>
      </x:c>
      <x:c r="D130" t="str">
        <x:v>Sonstige inkl. NPD</x:v>
      </x:c>
      <x:c r="E130" s="20" t="n">
        <x:v>6</x:v>
      </x:c>
      <x:c r="F130" s="20" t="n">
        <x:v>8.4</x:v>
      </x:c>
      <x:c r="G130" s="20" t="n">
        <x:f>E130-F130</x:f>
        <x:v>-2.4000000000000004</x:v>
      </x:c>
      <x:c r="H130" s="20" t="n">
        <x:f>ABS(G130)</x:f>
        <x:v>2.4000000000000004</x:v>
      </x:c>
      <x:c r="I130" s="20" t="n">
        <x:f>G130^2</x:f>
        <x:v>5.760000000000002</x:v>
      </x:c>
    </x:row>
    <x:row r="131">
      <x:c r="A131" t="str">
        <x:v>SUPP_C019</x:v>
      </x:c>
      <x:c r="B131" t="str">
        <x:v>SUPP_P019</x:v>
      </x:c>
      <x:c r="C131" t="str">
        <x:v>DE_MV_2021</x:v>
      </x:c>
      <x:c r="D131" t="str">
        <x:v>CDU</x:v>
      </x:c>
      <x:c r="E131" s="20" t="n">
        <x:v>13.5</x:v>
      </x:c>
      <x:c r="F131" s="20" t="n">
        <x:v>13.3</x:v>
      </x:c>
      <x:c r="G131" s="20" t="n">
        <x:f>E131-F131</x:f>
        <x:v>0.1999999999999993</x:v>
      </x:c>
      <x:c r="H131" s="20" t="n">
        <x:f>ABS(G131)</x:f>
        <x:v>0.1999999999999993</x:v>
      </x:c>
      <x:c r="I131" s="20" t="n">
        <x:f>G131^2</x:f>
        <x:v>0.039999999999999716</x:v>
      </x:c>
    </x:row>
    <x:row r="132">
      <x:c r="A132" t="str">
        <x:v>SUPP_C019</x:v>
      </x:c>
      <x:c r="B132" t="str">
        <x:v>SUPP_P019</x:v>
      </x:c>
      <x:c r="C132" t="str">
        <x:v>DE_MV_2021</x:v>
      </x:c>
      <x:c r="D132" t="str">
        <x:v>SPD</x:v>
      </x:c>
      <x:c r="E132" s="20" t="n">
        <x:v>40</x:v>
      </x:c>
      <x:c r="F132" s="20" t="n">
        <x:v>39.6</x:v>
      </x:c>
      <x:c r="G132" s="20" t="n">
        <x:f>E132-F132</x:f>
        <x:v>0.3999999999999986</x:v>
      </x:c>
      <x:c r="H132" s="20" t="n">
        <x:f>ABS(G132)</x:f>
        <x:v>0.3999999999999986</x:v>
      </x:c>
      <x:c r="I132" s="20" t="n">
        <x:f>G132^2</x:f>
        <x:v>0.15999999999999887</x:v>
      </x:c>
    </x:row>
    <x:row r="133">
      <x:c r="A133" t="str">
        <x:v>SUPP_C019</x:v>
      </x:c>
      <x:c r="B133" t="str">
        <x:v>SUPP_P019</x:v>
      </x:c>
      <x:c r="C133" t="str">
        <x:v>DE_MV_2021</x:v>
      </x:c>
      <x:c r="D133" t="str">
        <x:v>GRÜNE</x:v>
      </x:c>
      <x:c r="E133" s="20" t="n">
        <x:v>6</x:v>
      </x:c>
      <x:c r="F133" s="20" t="n">
        <x:v>6.3</x:v>
      </x:c>
      <x:c r="G133" s="20" t="n">
        <x:f>E133-F133</x:f>
        <x:v>-0.2999999999999998</x:v>
      </x:c>
      <x:c r="H133" s="20" t="n">
        <x:f>ABS(G133)</x:f>
        <x:v>0.2999999999999998</x:v>
      </x:c>
      <x:c r="I133" s="20" t="n">
        <x:f>G133^2</x:f>
        <x:v>0.0899999999999999</x:v>
      </x:c>
    </x:row>
    <x:row r="134">
      <x:c r="A134" t="str">
        <x:v>SUPP_C019</x:v>
      </x:c>
      <x:c r="B134" t="str">
        <x:v>SUPP_P019</x:v>
      </x:c>
      <x:c r="C134" t="str">
        <x:v>DE_MV_2021</x:v>
      </x:c>
      <x:c r="D134" t="str">
        <x:v>FDP</x:v>
      </x:c>
      <x:c r="E134" s="20" t="n">
        <x:v>5</x:v>
      </x:c>
      <x:c r="F134" s="20" t="n">
        <x:v>5.8</x:v>
      </x:c>
      <x:c r="G134" s="20" t="n">
        <x:f>E134-F134</x:f>
        <x:v>-0.7999999999999998</x:v>
      </x:c>
      <x:c r="H134" s="20" t="n">
        <x:f>ABS(G134)</x:f>
        <x:v>0.7999999999999998</x:v>
      </x:c>
      <x:c r="I134" s="20" t="n">
        <x:f>G134^2</x:f>
        <x:v>0.6399999999999997</x:v>
      </x:c>
    </x:row>
    <x:row r="135">
      <x:c r="A135" t="str">
        <x:v>SUPP_C019</x:v>
      </x:c>
      <x:c r="B135" t="str">
        <x:v>SUPP_P019</x:v>
      </x:c>
      <x:c r="C135" t="str">
        <x:v>DE_MV_2021</x:v>
      </x:c>
      <x:c r="D135" t="str">
        <x:v>LINKE</x:v>
      </x:c>
      <x:c r="E135" s="20" t="n">
        <x:v>10</x:v>
      </x:c>
      <x:c r="F135" s="20" t="n">
        <x:v>9.9</x:v>
      </x:c>
      <x:c r="G135" s="20" t="n">
        <x:f>E135-F135</x:f>
        <x:v>0.09999999999999964</x:v>
      </x:c>
      <x:c r="H135" s="20" t="n">
        <x:f>ABS(G135)</x:f>
        <x:v>0.09999999999999964</x:v>
      </x:c>
      <x:c r="I135" s="20" t="n">
        <x:f>G135^2</x:f>
        <x:v>0.009999999999999929</x:v>
      </x:c>
    </x:row>
    <x:row r="136">
      <x:c r="A136" t="str">
        <x:v>SUPP_C019</x:v>
      </x:c>
      <x:c r="B136" t="str">
        <x:v>SUPP_P019</x:v>
      </x:c>
      <x:c r="C136" t="str">
        <x:v>DE_MV_2021</x:v>
      </x:c>
      <x:c r="D136" t="str">
        <x:v>AfD</x:v>
      </x:c>
      <x:c r="E136" s="20" t="n">
        <x:v>16</x:v>
      </x:c>
      <x:c r="F136" s="20" t="n">
        <x:v>16.7</x:v>
      </x:c>
      <x:c r="G136" s="20" t="n">
        <x:f>E136-F136</x:f>
        <x:v>-0.6999999999999993</x:v>
      </x:c>
      <x:c r="H136" s="20" t="n">
        <x:f>ABS(G136)</x:f>
        <x:v>0.6999999999999993</x:v>
      </x:c>
      <x:c r="I136" s="20" t="n">
        <x:f>G136^2</x:f>
        <x:v>0.489999999999999</x:v>
      </x:c>
    </x:row>
    <x:row r="137">
      <x:c r="A137" t="str">
        <x:v>SUPP_C019</x:v>
      </x:c>
      <x:c r="B137" t="str">
        <x:v>SUPP_P019</x:v>
      </x:c>
      <x:c r="C137" t="str">
        <x:v>DE_MV_2021</x:v>
      </x:c>
      <x:c r="D137" t="str">
        <x:v>Sonstige inkl. NPD</x:v>
      </x:c>
      <x:c r="E137" s="20" t="n">
        <x:v>9.5</x:v>
      </x:c>
      <x:c r="F137" s="20" t="n">
        <x:v>8.4</x:v>
      </x:c>
      <x:c r="G137" s="20" t="n">
        <x:f>E137-F137</x:f>
        <x:v>1.0999999999999996</x:v>
      </x:c>
      <x:c r="H137" s="20" t="n">
        <x:f>ABS(G137)</x:f>
        <x:v>1.0999999999999996</x:v>
      </x:c>
      <x:c r="I137" s="20" t="n">
        <x:f>G137^2</x:f>
        <x:v>1.2099999999999993</x:v>
      </x:c>
    </x:row>
    <x:row r="138">
      <x:c r="A138" t="str">
        <x:v>SUPP_C020</x:v>
      </x:c>
      <x:c r="B138" t="str">
        <x:v>SUPP_P020</x:v>
      </x:c>
      <x:c r="C138" t="str">
        <x:v>DE_BE_2021</x:v>
      </x:c>
      <x:c r="D138" t="str">
        <x:v>CDU</x:v>
      </x:c>
      <x:c r="E138" s="20" t="n">
        <x:v>16</x:v>
      </x:c>
      <x:c r="F138" s="20" t="n">
        <x:v>18</x:v>
      </x:c>
      <x:c r="G138" s="20" t="n">
        <x:f>E138-F138</x:f>
        <x:v>-2</x:v>
      </x:c>
      <x:c r="H138" s="20" t="n">
        <x:f>ABS(G138)</x:f>
        <x:v>2</x:v>
      </x:c>
      <x:c r="I138" s="20" t="n">
        <x:f>G138^2</x:f>
        <x:v>4</x:v>
      </x:c>
    </x:row>
    <x:row r="139">
      <x:c r="A139" t="str">
        <x:v>SUPP_C020</x:v>
      </x:c>
      <x:c r="B139" t="str">
        <x:v>SUPP_P020</x:v>
      </x:c>
      <x:c r="C139" t="str">
        <x:v>DE_BE_2021</x:v>
      </x:c>
      <x:c r="D139" t="str">
        <x:v>SPD</x:v>
      </x:c>
      <x:c r="E139" s="20" t="n">
        <x:v>24</x:v>
      </x:c>
      <x:c r="F139" s="20" t="n">
        <x:v>21.4</x:v>
      </x:c>
      <x:c r="G139" s="20" t="n">
        <x:f>E139-F139</x:f>
        <x:v>2.6000000000000014</x:v>
      </x:c>
      <x:c r="H139" s="20" t="n">
        <x:f>ABS(G139)</x:f>
        <x:v>2.6000000000000014</x:v>
      </x:c>
      <x:c r="I139" s="20" t="n">
        <x:f>G139^2</x:f>
        <x:v>6.760000000000008</x:v>
      </x:c>
    </x:row>
    <x:row r="140">
      <x:c r="A140" t="str">
        <x:v>SUPP_C020</x:v>
      </x:c>
      <x:c r="B140" t="str">
        <x:v>SUPP_P020</x:v>
      </x:c>
      <x:c r="C140" t="str">
        <x:v>DE_BE_2021</x:v>
      </x:c>
      <x:c r="D140" t="str">
        <x:v>GRÜNE</x:v>
      </x:c>
      <x:c r="E140" s="20" t="n">
        <x:v>18</x:v>
      </x:c>
      <x:c r="F140" s="20" t="n">
        <x:v>18.9</x:v>
      </x:c>
      <x:c r="G140" s="20" t="n">
        <x:f>E140-F140</x:f>
        <x:v>-0.8999999999999986</x:v>
      </x:c>
      <x:c r="H140" s="20" t="n">
        <x:f>ABS(G140)</x:f>
        <x:v>0.8999999999999986</x:v>
      </x:c>
      <x:c r="I140" s="20" t="n">
        <x:f>G140^2</x:f>
        <x:v>0.8099999999999974</x:v>
      </x:c>
    </x:row>
    <x:row r="141">
      <x:c r="A141" t="str">
        <x:v>SUPP_C020</x:v>
      </x:c>
      <x:c r="B141" t="str">
        <x:v>SUPP_P020</x:v>
      </x:c>
      <x:c r="C141" t="str">
        <x:v>DE_BE_2021</x:v>
      </x:c>
      <x:c r="D141" t="str">
        <x:v>FDP</x:v>
      </x:c>
      <x:c r="E141" s="20" t="n">
        <x:v>9</x:v>
      </x:c>
      <x:c r="F141" s="20" t="n">
        <x:v>7.1</x:v>
      </x:c>
      <x:c r="G141" s="20" t="n">
        <x:f>E141-F141</x:f>
        <x:v>1.9000000000000004</x:v>
      </x:c>
      <x:c r="H141" s="20" t="n">
        <x:f>ABS(G141)</x:f>
        <x:v>1.9000000000000004</x:v>
      </x:c>
      <x:c r="I141" s="20" t="n">
        <x:f>G141^2</x:f>
        <x:v>3.610000000000001</x:v>
      </x:c>
    </x:row>
    <x:row r="142">
      <x:c r="A142" t="str">
        <x:v>SUPP_C020</x:v>
      </x:c>
      <x:c r="B142" t="str">
        <x:v>SUPP_P020</x:v>
      </x:c>
      <x:c r="C142" t="str">
        <x:v>DE_BE_2021</x:v>
      </x:c>
      <x:c r="D142" t="str">
        <x:v>LINKE</x:v>
      </x:c>
      <x:c r="E142" s="20" t="n">
        <x:v>12</x:v>
      </x:c>
      <x:c r="F142" s="20" t="n">
        <x:v>14.1</x:v>
      </x:c>
      <x:c r="G142" s="20" t="n">
        <x:f>E142-F142</x:f>
        <x:v>-2.0999999999999996</x:v>
      </x:c>
      <x:c r="H142" s="20" t="n">
        <x:f>ABS(G142)</x:f>
        <x:v>2.0999999999999996</x:v>
      </x:c>
      <x:c r="I142" s="20" t="n">
        <x:f>G142^2</x:f>
        <x:v>4.409999999999998</x:v>
      </x:c>
    </x:row>
    <x:row r="143">
      <x:c r="A143" t="str">
        <x:v>SUPP_C020</x:v>
      </x:c>
      <x:c r="B143" t="str">
        <x:v>SUPP_P020</x:v>
      </x:c>
      <x:c r="C143" t="str">
        <x:v>DE_BE_2021</x:v>
      </x:c>
      <x:c r="D143" t="str">
        <x:v>AfD</x:v>
      </x:c>
      <x:c r="E143" s="20" t="n">
        <x:v>8</x:v>
      </x:c>
      <x:c r="F143" s="20" t="n">
        <x:v>8</x:v>
      </x:c>
      <x:c r="G143" s="20" t="n">
        <x:f>E143-F143</x:f>
        <x:v>0</x:v>
      </x:c>
      <x:c r="H143" s="20" t="n">
        <x:f>ABS(G143)</x:f>
        <x:v>0</x:v>
      </x:c>
      <x:c r="I143" s="20" t="n">
        <x:f>G143^2</x:f>
        <x:v>0</x:v>
      </x:c>
    </x:row>
    <x:row r="144">
      <x:c r="A144" t="str">
        <x:v>SUPP_C020</x:v>
      </x:c>
      <x:c r="B144" t="str">
        <x:v>SUPP_P020</x:v>
      </x:c>
      <x:c r="C144" t="str">
        <x:v>DE_BE_2021</x:v>
      </x:c>
      <x:c r="D144" t="str">
        <x:v>Sonstige inkl. TSP/FW</x:v>
      </x:c>
      <x:c r="E144" s="20" t="n">
        <x:v>13</x:v>
      </x:c>
      <x:c r="F144" s="20" t="n">
        <x:v>12.4</x:v>
      </x:c>
      <x:c r="G144" s="20" t="n">
        <x:f>E144-F144</x:f>
        <x:v>0.5999999999999996</x:v>
      </x:c>
      <x:c r="H144" s="20" t="n">
        <x:f>ABS(G144)</x:f>
        <x:v>0.5999999999999996</x:v>
      </x:c>
      <x:c r="I144" s="20" t="n">
        <x:f>G144^2</x:f>
        <x:v>0.3599999999999996</x:v>
      </x:c>
    </x:row>
    <x:row r="145">
      <x:c r="A145" t="str">
        <x:v>SUPP_C021</x:v>
      </x:c>
      <x:c r="B145" t="str">
        <x:v>SUPP_P021</x:v>
      </x:c>
      <x:c r="C145" t="str">
        <x:v>DE_BE_2021</x:v>
      </x:c>
      <x:c r="D145" t="str">
        <x:v>CDU</x:v>
      </x:c>
      <x:c r="E145" s="20" t="n">
        <x:v>15.5</x:v>
      </x:c>
      <x:c r="F145" s="20" t="n">
        <x:v>18</x:v>
      </x:c>
      <x:c r="G145" s="20" t="n">
        <x:f>E145-F145</x:f>
        <x:v>-2.5</x:v>
      </x:c>
      <x:c r="H145" s="20" t="n">
        <x:f>ABS(G145)</x:f>
        <x:v>2.5</x:v>
      </x:c>
      <x:c r="I145" s="20" t="n">
        <x:f>G145^2</x:f>
        <x:v>6.25</x:v>
      </x:c>
    </x:row>
    <x:row r="146">
      <x:c r="A146" t="str">
        <x:v>SUPP_C021</x:v>
      </x:c>
      <x:c r="B146" t="str">
        <x:v>SUPP_P021</x:v>
      </x:c>
      <x:c r="C146" t="str">
        <x:v>DE_BE_2021</x:v>
      </x:c>
      <x:c r="D146" t="str">
        <x:v>SPD</x:v>
      </x:c>
      <x:c r="E146" s="20" t="n">
        <x:v>25</x:v>
      </x:c>
      <x:c r="F146" s="20" t="n">
        <x:v>21.4</x:v>
      </x:c>
      <x:c r="G146" s="20" t="n">
        <x:f>E146-F146</x:f>
        <x:v>3.6000000000000014</x:v>
      </x:c>
      <x:c r="H146" s="20" t="n">
        <x:f>ABS(G146)</x:f>
        <x:v>3.6000000000000014</x:v>
      </x:c>
      <x:c r="I146" s="20" t="n">
        <x:f>G146^2</x:f>
        <x:v>12.96000000000001</x:v>
      </x:c>
    </x:row>
    <x:row r="147">
      <x:c r="A147" t="str">
        <x:v>SUPP_C021</x:v>
      </x:c>
      <x:c r="B147" t="str">
        <x:v>SUPP_P021</x:v>
      </x:c>
      <x:c r="C147" t="str">
        <x:v>DE_BE_2021</x:v>
      </x:c>
      <x:c r="D147" t="str">
        <x:v>GRÜNE</x:v>
      </x:c>
      <x:c r="E147" s="20" t="n">
        <x:v>15</x:v>
      </x:c>
      <x:c r="F147" s="20" t="n">
        <x:v>18.9</x:v>
      </x:c>
      <x:c r="G147" s="20" t="n">
        <x:f>E147-F147</x:f>
        <x:v>-3.8999999999999986</x:v>
      </x:c>
      <x:c r="H147" s="20" t="n">
        <x:f>ABS(G147)</x:f>
        <x:v>3.8999999999999986</x:v>
      </x:c>
      <x:c r="I147" s="20" t="n">
        <x:f>G147^2</x:f>
        <x:v>15.209999999999988</x:v>
      </x:c>
    </x:row>
    <x:row r="148">
      <x:c r="A148" t="str">
        <x:v>SUPP_C021</x:v>
      </x:c>
      <x:c r="B148" t="str">
        <x:v>SUPP_P021</x:v>
      </x:c>
      <x:c r="C148" t="str">
        <x:v>DE_BE_2021</x:v>
      </x:c>
      <x:c r="D148" t="str">
        <x:v>FDP</x:v>
      </x:c>
      <x:c r="E148" s="20" t="n">
        <x:v>7.5</x:v>
      </x:c>
      <x:c r="F148" s="20" t="n">
        <x:v>7.1</x:v>
      </x:c>
      <x:c r="G148" s="20" t="n">
        <x:f>E148-F148</x:f>
        <x:v>0.40000000000000036</x:v>
      </x:c>
      <x:c r="H148" s="20" t="n">
        <x:f>ABS(G148)</x:f>
        <x:v>0.40000000000000036</x:v>
      </x:c>
      <x:c r="I148" s="20" t="n">
        <x:f>G148^2</x:f>
        <x:v>0.16000000000000028</x:v>
      </x:c>
    </x:row>
    <x:row r="149">
      <x:c r="A149" t="str">
        <x:v>SUPP_C021</x:v>
      </x:c>
      <x:c r="B149" t="str">
        <x:v>SUPP_P021</x:v>
      </x:c>
      <x:c r="C149" t="str">
        <x:v>DE_BE_2021</x:v>
      </x:c>
      <x:c r="D149" t="str">
        <x:v>LINKE</x:v>
      </x:c>
      <x:c r="E149" s="20" t="n">
        <x:v>14.5</x:v>
      </x:c>
      <x:c r="F149" s="20" t="n">
        <x:v>14.1</x:v>
      </x:c>
      <x:c r="G149" s="20" t="n">
        <x:f>E149-F149</x:f>
        <x:v>0.40000000000000036</x:v>
      </x:c>
      <x:c r="H149" s="20" t="n">
        <x:f>ABS(G149)</x:f>
        <x:v>0.40000000000000036</x:v>
      </x:c>
      <x:c r="I149" s="20" t="n">
        <x:f>G149^2</x:f>
        <x:v>0.16000000000000028</x:v>
      </x:c>
    </x:row>
    <x:row r="150">
      <x:c r="A150" t="str">
        <x:v>SUPP_C021</x:v>
      </x:c>
      <x:c r="B150" t="str">
        <x:v>SUPP_P021</x:v>
      </x:c>
      <x:c r="C150" t="str">
        <x:v>DE_BE_2021</x:v>
      </x:c>
      <x:c r="D150" t="str">
        <x:v>AfD</x:v>
      </x:c>
      <x:c r="E150" s="20" t="n">
        <x:v>10</x:v>
      </x:c>
      <x:c r="F150" s="20" t="n">
        <x:v>8</x:v>
      </x:c>
      <x:c r="G150" s="20" t="n">
        <x:f>E150-F150</x:f>
        <x:v>2</x:v>
      </x:c>
      <x:c r="H150" s="20" t="n">
        <x:f>ABS(G150)</x:f>
        <x:v>2</x:v>
      </x:c>
      <x:c r="I150" s="20" t="n">
        <x:f>G150^2</x:f>
        <x:v>4</x:v>
      </x:c>
    </x:row>
    <x:row r="151">
      <x:c r="A151" t="str">
        <x:v>SUPP_C021</x:v>
      </x:c>
      <x:c r="B151" t="str">
        <x:v>SUPP_P021</x:v>
      </x:c>
      <x:c r="C151" t="str">
        <x:v>DE_BE_2021</x:v>
      </x:c>
      <x:c r="D151" t="str">
        <x:v>Sonstige inkl. TSP/FW</x:v>
      </x:c>
      <x:c r="E151" s="20" t="n">
        <x:v>12.5</x:v>
      </x:c>
      <x:c r="F151" s="20" t="n">
        <x:v>12.4</x:v>
      </x:c>
      <x:c r="G151" s="20" t="n">
        <x:f>E151-F151</x:f>
        <x:v>0.09999999999999964</x:v>
      </x:c>
      <x:c r="H151" s="20" t="n">
        <x:f>ABS(G151)</x:f>
        <x:v>0.09999999999999964</x:v>
      </x:c>
      <x:c r="I151" s="20" t="n">
        <x:f>G151^2</x:f>
        <x:v>0.009999999999999929</x:v>
      </x:c>
    </x:row>
    <x:row r="152">
      <x:c r="E152" s="20"/>
      <x:c r="F152" s="20"/>
      <x:c r="G152" s="20"/>
      <x:c r="H152" s="20"/>
      <x:c r="I152" s="20"/>
    </x:row>
    <x:row r="153">
      <x:c r="E153" s="20"/>
      <x:c r="F153" s="20"/>
      <x:c r="G153" s="20"/>
      <x:c r="H153" s="20"/>
      <x:c r="I153" s="20"/>
    </x:row>
    <x:row r="154">
      <x:c r="E154" s="20"/>
      <x:c r="F154" s="20"/>
      <x:c r="G154" s="20"/>
      <x:c r="H154" s="20"/>
      <x:c r="I154" s="20"/>
    </x:row>
    <x:row r="155">
      <x:c r="E155" s="20"/>
      <x:c r="F155" s="20"/>
      <x:c r="G155" s="20"/>
      <x:c r="H155" s="20"/>
      <x:c r="I155" s="20"/>
    </x:row>
    <x:row r="156">
      <x:c r="E156" s="20"/>
      <x:c r="F156" s="20"/>
      <x:c r="G156" s="20"/>
      <x:c r="H156" s="20"/>
      <x:c r="I156" s="20"/>
    </x:row>
    <x:row r="157">
      <x:c r="E157" s="20"/>
      <x:c r="F157" s="20"/>
      <x:c r="G157" s="20"/>
      <x:c r="H157" s="20"/>
      <x:c r="I157" s="20"/>
    </x:row>
    <x:row r="158">
      <x:c r="E158" s="20"/>
      <x:c r="F158" s="20"/>
      <x:c r="G158" s="20"/>
      <x:c r="H158" s="20"/>
      <x:c r="I158" s="20"/>
    </x:row>
    <x:row r="159">
      <x:c r="E159" s="20"/>
      <x:c r="F159" s="20"/>
      <x:c r="G159" s="20"/>
      <x:c r="H159" s="20"/>
      <x:c r="I159" s="20"/>
    </x:row>
    <x:row r="160">
      <x:c r="E160" s="20"/>
      <x:c r="F160" s="20"/>
      <x:c r="G160" s="20"/>
      <x:c r="H160" s="20"/>
      <x:c r="I160" s="20"/>
    </x:row>
    <x:row r="161">
      <x:c r="E161" s="20"/>
      <x:c r="F161" s="20"/>
      <x:c r="G161" s="20"/>
      <x:c r="H161" s="20"/>
      <x:c r="I161" s="20"/>
    </x:row>
    <x:row r="162">
      <x:c r="E162" s="20"/>
      <x:c r="F162" s="20"/>
      <x:c r="G162" s="20"/>
      <x:c r="H162" s="20"/>
      <x:c r="I162" s="20"/>
    </x:row>
    <x:row r="163">
      <x:c r="E163" s="20"/>
      <x:c r="F163" s="20"/>
      <x:c r="G163" s="20"/>
      <x:c r="H163" s="20"/>
      <x:c r="I163" s="20"/>
    </x:row>
    <x:row r="164">
      <x:c r="E164" s="20"/>
      <x:c r="F164" s="20"/>
      <x:c r="G164" s="20"/>
      <x:c r="H164" s="20"/>
      <x:c r="I164" s="20"/>
    </x:row>
    <x:row r="165">
      <x:c r="E165" s="20"/>
      <x:c r="F165" s="20"/>
      <x:c r="G165" s="20"/>
      <x:c r="H165" s="20"/>
      <x:c r="I165" s="20"/>
    </x:row>
    <x:row r="166">
      <x:c r="E166" s="20"/>
      <x:c r="F166" s="20"/>
      <x:c r="G166" s="20"/>
      <x:c r="H166" s="20"/>
      <x:c r="I166" s="20"/>
    </x:row>
    <x:row r="167">
      <x:c r="E167" s="20"/>
      <x:c r="F167" s="20"/>
      <x:c r="G167" s="20"/>
      <x:c r="H167" s="20"/>
      <x:c r="I167" s="20"/>
    </x:row>
    <x:row r="168">
      <x:c r="E168" s="20"/>
      <x:c r="F168" s="20"/>
      <x:c r="G168" s="20"/>
      <x:c r="H168" s="20"/>
      <x:c r="I168" s="20"/>
    </x:row>
    <x:row r="169">
      <x:c r="E169" s="20"/>
      <x:c r="F169" s="20"/>
      <x:c r="G169" s="20"/>
      <x:c r="H169" s="20"/>
      <x:c r="I169" s="20"/>
    </x:row>
    <x:row r="170">
      <x:c r="E170" s="20"/>
      <x:c r="F170" s="20"/>
      <x:c r="G170" s="20"/>
      <x:c r="H170" s="20"/>
      <x:c r="I170" s="20"/>
    </x:row>
    <x:row r="171">
      <x:c r="E171" s="20"/>
      <x:c r="F171" s="20"/>
      <x:c r="G171" s="20"/>
      <x:c r="H171" s="20"/>
      <x:c r="I171" s="20"/>
    </x:row>
    <x:row r="172">
      <x:c r="E172" s="20"/>
      <x:c r="F172" s="20"/>
      <x:c r="G172" s="20"/>
      <x:c r="H172" s="20"/>
      <x:c r="I172" s="20"/>
    </x:row>
    <x:row r="173">
      <x:c r="E173" s="20"/>
      <x:c r="F173" s="20"/>
      <x:c r="G173" s="20"/>
      <x:c r="H173" s="20"/>
      <x:c r="I173" s="20"/>
    </x:row>
    <x:row r="174">
      <x:c r="E174" s="20"/>
      <x:c r="F174" s="20"/>
      <x:c r="G174" s="20"/>
      <x:c r="H174" s="20"/>
      <x:c r="I174" s="20"/>
    </x:row>
    <x:row r="175">
      <x:c r="E175" s="20"/>
      <x:c r="F175" s="20"/>
      <x:c r="G175" s="20"/>
      <x:c r="H175" s="20"/>
      <x:c r="I175" s="20"/>
    </x:row>
    <x:row r="176">
      <x:c r="E176" s="20"/>
      <x:c r="F176" s="20"/>
      <x:c r="G176" s="20"/>
      <x:c r="H176" s="20"/>
      <x:c r="I176" s="20"/>
    </x:row>
    <x:row r="177">
      <x:c r="E177" s="20"/>
      <x:c r="F177" s="20"/>
      <x:c r="G177" s="20"/>
      <x:c r="H177" s="20"/>
      <x:c r="I177" s="20"/>
    </x:row>
    <x:row r="178">
      <x:c r="E178" s="20"/>
      <x:c r="F178" s="20"/>
      <x:c r="G178" s="20"/>
      <x:c r="H178" s="20"/>
      <x:c r="I178" s="20"/>
    </x:row>
    <x:row r="179">
      <x:c r="E179" s="20"/>
      <x:c r="F179" s="20"/>
      <x:c r="G179" s="20"/>
      <x:c r="H179" s="20"/>
      <x:c r="I179" s="20"/>
    </x:row>
    <x:row r="180">
      <x:c r="E180" s="20"/>
      <x:c r="F180" s="20"/>
      <x:c r="G180" s="20"/>
      <x:c r="H180" s="20"/>
      <x:c r="I180" s="20"/>
    </x:row>
    <x:row r="181">
      <x:c r="E181" s="20"/>
      <x:c r="F181" s="20"/>
      <x:c r="G181" s="20"/>
      <x:c r="H181" s="20"/>
      <x:c r="I181" s="20"/>
    </x:row>
    <x:row r="182">
      <x:c r="E182" s="20"/>
      <x:c r="F182" s="20"/>
      <x:c r="G182" s="20"/>
      <x:c r="H182" s="20"/>
      <x:c r="I182" s="20"/>
    </x:row>
    <x:row r="183">
      <x:c r="E183" s="20"/>
      <x:c r="F183" s="20"/>
      <x:c r="G183" s="20"/>
      <x:c r="H183" s="20"/>
      <x:c r="I183" s="20"/>
    </x:row>
    <x:row r="184">
      <x:c r="E184" s="20"/>
      <x:c r="F184" s="20"/>
      <x:c r="G184" s="20"/>
      <x:c r="H184" s="20"/>
      <x:c r="I184" s="20"/>
    </x:row>
    <x:row r="185">
      <x:c r="E185" s="20"/>
      <x:c r="F185" s="20"/>
      <x:c r="G185" s="20"/>
      <x:c r="H185" s="20"/>
      <x:c r="I185" s="20"/>
    </x:row>
    <x:row r="186">
      <x:c r="E186" s="20"/>
      <x:c r="F186" s="20"/>
      <x:c r="G186" s="20"/>
      <x:c r="H186" s="20"/>
      <x:c r="I186" s="20"/>
    </x:row>
    <x:row r="187">
      <x:c r="E187" s="20"/>
      <x:c r="F187" s="20"/>
      <x:c r="G187" s="20"/>
      <x:c r="H187" s="20"/>
      <x:c r="I187" s="20"/>
    </x:row>
    <x:row r="188">
      <x:c r="E188" s="20"/>
      <x:c r="F188" s="20"/>
      <x:c r="G188" s="20"/>
      <x:c r="H188" s="20"/>
      <x:c r="I188" s="20"/>
    </x:row>
    <x:row r="189">
      <x:c r="E189" s="20"/>
      <x:c r="F189" s="20"/>
      <x:c r="G189" s="20"/>
      <x:c r="H189" s="20"/>
      <x:c r="I189" s="20"/>
    </x:row>
    <x:row r="190">
      <x:c r="E190" s="20"/>
      <x:c r="F190" s="20"/>
      <x:c r="G190" s="20"/>
      <x:c r="H190" s="20"/>
      <x:c r="I190" s="20"/>
    </x:row>
    <x:row r="191">
      <x:c r="E191" s="20"/>
      <x:c r="F191" s="20"/>
      <x:c r="G191" s="20"/>
      <x:c r="H191" s="20"/>
      <x:c r="I191" s="20"/>
    </x:row>
    <x:row r="192">
      <x:c r="E192" s="20"/>
      <x:c r="F192" s="20"/>
      <x:c r="G192" s="20"/>
      <x:c r="H192" s="20"/>
      <x:c r="I192" s="20"/>
    </x:row>
    <x:row r="193">
      <x:c r="E193" s="20"/>
      <x:c r="F193" s="20"/>
      <x:c r="G193" s="20"/>
      <x:c r="H193" s="20"/>
      <x:c r="I193" s="20"/>
    </x:row>
    <x:row r="194">
      <x:c r="E194" s="20"/>
      <x:c r="F194" s="20"/>
      <x:c r="G194" s="20"/>
      <x:c r="H194" s="20"/>
      <x:c r="I194" s="20"/>
    </x:row>
    <x:row r="195">
      <x:c r="E195" s="20"/>
      <x:c r="F195" s="20"/>
      <x:c r="G195" s="20"/>
      <x:c r="H195" s="20"/>
      <x:c r="I195" s="20"/>
    </x:row>
    <x:row r="196">
      <x:c r="E196" s="20"/>
      <x:c r="F196" s="20"/>
      <x:c r="G196" s="20"/>
      <x:c r="H196" s="20"/>
      <x:c r="I196" s="20"/>
    </x:row>
    <x:row r="197">
      <x:c r="E197" s="20"/>
      <x:c r="F197" s="20"/>
      <x:c r="G197" s="20"/>
      <x:c r="H197" s="20"/>
      <x:c r="I197" s="20"/>
    </x:row>
    <x:row r="198">
      <x:c r="E198" s="20"/>
      <x:c r="F198" s="20"/>
      <x:c r="G198" s="20"/>
      <x:c r="H198" s="20"/>
      <x:c r="I198" s="20"/>
    </x:row>
    <x:row r="199">
      <x:c r="E199" s="20"/>
      <x:c r="F199" s="20"/>
      <x:c r="G199" s="20"/>
      <x:c r="H199" s="20"/>
      <x:c r="I199" s="20"/>
    </x:row>
    <x:row r="200">
      <x:c r="E200" s="20"/>
      <x:c r="F200" s="20"/>
      <x:c r="G200" s="20"/>
      <x:c r="H200" s="20"/>
      <x:c r="I200" s="20"/>
    </x:row>
    <x:row r="201">
      <x:c r="E201" s="20"/>
      <x:c r="F201" s="20"/>
      <x:c r="G201" s="20"/>
      <x:c r="H201" s="20"/>
      <x:c r="I201" s="20"/>
    </x:row>
    <x:row r="202">
      <x:c r="E202" s="20"/>
      <x:c r="F202" s="20"/>
      <x:c r="G202" s="20"/>
      <x:c r="H202" s="20"/>
      <x:c r="I202" s="20"/>
    </x:row>
    <x:row r="203">
      <x:c r="E203" s="20"/>
      <x:c r="F203" s="20"/>
      <x:c r="G203" s="20"/>
      <x:c r="H203" s="20"/>
      <x:c r="I203" s="20"/>
    </x:row>
    <x:row r="204">
      <x:c r="E204" s="20"/>
      <x:c r="F204" s="20"/>
      <x:c r="G204" s="20"/>
      <x:c r="H204" s="20"/>
      <x:c r="I204" s="20"/>
    </x:row>
    <x:row r="205">
      <x:c r="E205" s="20"/>
      <x:c r="F205" s="20"/>
      <x:c r="G205" s="20"/>
      <x:c r="H205" s="20"/>
      <x:c r="I205" s="20"/>
    </x:row>
    <x:row r="206">
      <x:c r="E206" s="20"/>
      <x:c r="F206" s="20"/>
      <x:c r="G206" s="20"/>
      <x:c r="H206" s="20"/>
      <x:c r="I206" s="20"/>
    </x:row>
    <x:row r="207">
      <x:c r="E207" s="20"/>
      <x:c r="F207" s="20"/>
      <x:c r="G207" s="20"/>
      <x:c r="H207" s="20"/>
      <x:c r="I207" s="20"/>
    </x:row>
    <x:row r="208">
      <x:c r="E208" s="20"/>
      <x:c r="F208" s="20"/>
      <x:c r="G208" s="20"/>
      <x:c r="H208" s="20"/>
      <x:c r="I208" s="20"/>
    </x:row>
    <x:row r="209">
      <x:c r="E209" s="20"/>
      <x:c r="F209" s="20"/>
      <x:c r="G209" s="20"/>
      <x:c r="H209" s="20"/>
      <x:c r="I209" s="20"/>
    </x:row>
    <x:row r="210">
      <x:c r="E210" s="20"/>
      <x:c r="F210" s="20"/>
      <x:c r="G210" s="20"/>
      <x:c r="H210" s="20"/>
      <x:c r="I210" s="20"/>
    </x:row>
    <x:row r="211">
      <x:c r="E211" s="20"/>
      <x:c r="F211" s="20"/>
      <x:c r="G211" s="20"/>
      <x:c r="H211" s="20"/>
      <x:c r="I211" s="20"/>
    </x:row>
    <x:row r="212">
      <x:c r="E212" s="20"/>
      <x:c r="F212" s="20"/>
      <x:c r="G212" s="20"/>
      <x:c r="H212" s="20"/>
      <x:c r="I212" s="20"/>
    </x:row>
    <x:row r="213">
      <x:c r="E213" s="20"/>
      <x:c r="F213" s="20"/>
      <x:c r="G213" s="20"/>
      <x:c r="H213" s="20"/>
      <x:c r="I213" s="20"/>
    </x:row>
    <x:row r="214">
      <x:c r="E214" s="20"/>
      <x:c r="F214" s="20"/>
      <x:c r="G214" s="20"/>
      <x:c r="H214" s="20"/>
      <x:c r="I214" s="20"/>
    </x:row>
    <x:row r="215">
      <x:c r="E215" s="20"/>
      <x:c r="F215" s="20"/>
      <x:c r="G215" s="20"/>
      <x:c r="H215" s="20"/>
      <x:c r="I215" s="20"/>
    </x:row>
    <x:row r="216">
      <x:c r="E216" s="20"/>
      <x:c r="F216" s="20"/>
      <x:c r="G216" s="20"/>
      <x:c r="H216" s="20"/>
      <x:c r="I216" s="20"/>
    </x:row>
    <x:row r="217">
      <x:c r="E217" s="20"/>
      <x:c r="F217" s="20"/>
      <x:c r="G217" s="20"/>
      <x:c r="H217" s="20"/>
      <x:c r="I217" s="20"/>
    </x:row>
    <x:row r="218">
      <x:c r="E218" s="20"/>
      <x:c r="F218" s="20"/>
      <x:c r="G218" s="20"/>
      <x:c r="H218" s="20"/>
      <x:c r="I218" s="20"/>
    </x:row>
    <x:row r="219">
      <x:c r="E219" s="20"/>
      <x:c r="F219" s="20"/>
      <x:c r="G219" s="20"/>
      <x:c r="H219" s="20"/>
      <x:c r="I219" s="20"/>
    </x:row>
    <x:row r="220">
      <x:c r="E220" s="20"/>
      <x:c r="F220" s="20"/>
      <x:c r="G220" s="20"/>
      <x:c r="H220" s="20"/>
      <x:c r="I220" s="20"/>
    </x:row>
    <x:row r="221">
      <x:c r="E221" s="20"/>
      <x:c r="F221" s="20"/>
      <x:c r="G221" s="20"/>
      <x:c r="H221" s="20"/>
      <x:c r="I221" s="20"/>
    </x:row>
    <x:row r="222">
      <x:c r="E222" s="20"/>
      <x:c r="F222" s="20"/>
      <x:c r="G222" s="20"/>
      <x:c r="H222" s="20"/>
      <x:c r="I222" s="20"/>
    </x:row>
    <x:row r="223">
      <x:c r="E223" s="20"/>
      <x:c r="F223" s="20"/>
      <x:c r="G223" s="20"/>
      <x:c r="H223" s="20"/>
      <x:c r="I223" s="20"/>
    </x:row>
    <x:row r="224">
      <x:c r="E224" s="20"/>
      <x:c r="F224" s="20"/>
      <x:c r="G224" s="20"/>
      <x:c r="H224" s="20"/>
      <x:c r="I224" s="20"/>
    </x:row>
    <x:row r="225">
      <x:c r="E225" s="20"/>
      <x:c r="F225" s="20"/>
      <x:c r="G225" s="20"/>
      <x:c r="H225" s="20"/>
      <x:c r="I225" s="20"/>
    </x:row>
    <x:row r="226">
      <x:c r="E226" s="20"/>
      <x:c r="F226" s="20"/>
      <x:c r="G226" s="20"/>
      <x:c r="H226" s="20"/>
      <x:c r="I226" s="20"/>
    </x:row>
    <x:row r="227">
      <x:c r="E227" s="20"/>
      <x:c r="F227" s="20"/>
      <x:c r="G227" s="20"/>
      <x:c r="H227" s="20"/>
      <x:c r="I227" s="20"/>
    </x:row>
    <x:row r="228">
      <x:c r="E228" s="20"/>
      <x:c r="F228" s="20"/>
      <x:c r="G228" s="20"/>
      <x:c r="H228" s="20"/>
      <x:c r="I228" s="20"/>
    </x:row>
    <x:row r="229">
      <x:c r="E229" s="20"/>
      <x:c r="F229" s="20"/>
      <x:c r="G229" s="20"/>
      <x:c r="H229" s="20"/>
      <x:c r="I229" s="20"/>
    </x:row>
    <x:row r="230">
      <x:c r="E230" s="20"/>
      <x:c r="F230" s="20"/>
      <x:c r="G230" s="20"/>
      <x:c r="H230" s="20"/>
      <x:c r="I230" s="20"/>
    </x:row>
    <x:row r="231">
      <x:c r="E231" s="20"/>
      <x:c r="F231" s="20"/>
      <x:c r="G231" s="20"/>
      <x:c r="H231" s="20"/>
      <x:c r="I231" s="20"/>
    </x:row>
    <x:row r="232">
      <x:c r="E232" s="20"/>
      <x:c r="F232" s="20"/>
      <x:c r="G232" s="20"/>
      <x:c r="H232" s="20"/>
      <x:c r="I232" s="20"/>
    </x:row>
    <x:row r="233">
      <x:c r="E233" s="20"/>
      <x:c r="F233" s="20"/>
      <x:c r="G233" s="20"/>
      <x:c r="H233" s="20"/>
      <x:c r="I233" s="20"/>
    </x:row>
    <x:row r="234">
      <x:c r="E234" s="20"/>
      <x:c r="F234" s="20"/>
      <x:c r="G234" s="20"/>
      <x:c r="H234" s="20"/>
      <x:c r="I234" s="20"/>
    </x:row>
    <x:row r="235">
      <x:c r="E235" s="20"/>
      <x:c r="F235" s="20"/>
      <x:c r="G235" s="20"/>
      <x:c r="H235" s="20"/>
      <x:c r="I235" s="20"/>
    </x:row>
    <x:row r="236">
      <x:c r="E236" s="20"/>
      <x:c r="F236" s="20"/>
      <x:c r="G236" s="20"/>
      <x:c r="H236" s="20"/>
      <x:c r="I236" s="20"/>
    </x:row>
    <x:row r="237">
      <x:c r="E237" s="20"/>
      <x:c r="F237" s="20"/>
      <x:c r="G237" s="20"/>
      <x:c r="H237" s="20"/>
      <x:c r="I237" s="20"/>
    </x:row>
    <x:row r="238">
      <x:c r="E238" s="20"/>
      <x:c r="F238" s="20"/>
      <x:c r="G238" s="20"/>
      <x:c r="H238" s="20"/>
      <x:c r="I238" s="20"/>
    </x:row>
    <x:row r="239">
      <x:c r="E239" s="20"/>
      <x:c r="F239" s="20"/>
      <x:c r="G239" s="20"/>
      <x:c r="H239" s="20"/>
      <x:c r="I239" s="20"/>
    </x:row>
    <x:row r="240">
      <x:c r="E240" s="20"/>
      <x:c r="F240" s="20"/>
      <x:c r="G240" s="20"/>
      <x:c r="H240" s="20"/>
      <x:c r="I240" s="20"/>
    </x:row>
    <x:row r="241">
      <x:c r="E241" s="20"/>
      <x:c r="F241" s="20"/>
      <x:c r="G241" s="20"/>
      <x:c r="H241" s="20"/>
      <x:c r="I241" s="20"/>
    </x:row>
    <x:row r="242">
      <x:c r="E242" s="20"/>
      <x:c r="F242" s="20"/>
      <x:c r="G242" s="20"/>
      <x:c r="H242" s="20"/>
      <x:c r="I242" s="20"/>
    </x:row>
    <x:row r="243">
      <x:c r="E243" s="20"/>
      <x:c r="F243" s="20"/>
      <x:c r="G243" s="20"/>
      <x:c r="H243" s="20"/>
      <x:c r="I243" s="20"/>
    </x:row>
    <x:row r="244">
      <x:c r="E244" s="20"/>
      <x:c r="F244" s="20"/>
      <x:c r="G244" s="20"/>
      <x:c r="H244" s="20"/>
      <x:c r="I244" s="20"/>
    </x:row>
    <x:row r="245">
      <x:c r="E245" s="20"/>
      <x:c r="F245" s="20"/>
      <x:c r="G245" s="20"/>
      <x:c r="H245" s="20"/>
      <x:c r="I245" s="20"/>
    </x:row>
    <x:row r="246">
      <x:c r="E246" s="20"/>
      <x:c r="F246" s="20"/>
      <x:c r="G246" s="20"/>
      <x:c r="H246" s="20"/>
      <x:c r="I246" s="20"/>
    </x:row>
    <x:row r="247">
      <x:c r="E247" s="20"/>
      <x:c r="F247" s="20"/>
      <x:c r="G247" s="20"/>
      <x:c r="H247" s="20"/>
      <x:c r="I247" s="20"/>
    </x:row>
    <x:row r="248">
      <x:c r="E248" s="20"/>
      <x:c r="F248" s="20"/>
      <x:c r="G248" s="20"/>
      <x:c r="H248" s="20"/>
      <x:c r="I248" s="20"/>
    </x:row>
    <x:row r="249">
      <x:c r="E249" s="20"/>
      <x:c r="F249" s="20"/>
      <x:c r="G249" s="20"/>
      <x:c r="H249" s="20"/>
      <x:c r="I249" s="20"/>
    </x:row>
    <x:row r="250">
      <x:c r="E250" s="20"/>
      <x:c r="F250" s="20"/>
      <x:c r="G250" s="20"/>
      <x:c r="H250" s="20"/>
      <x:c r="I250" s="20"/>
    </x:row>
    <x:row r="251">
      <x:c r="E251" s="20"/>
      <x:c r="F251" s="20"/>
      <x:c r="G251" s="20"/>
      <x:c r="H251" s="20"/>
      <x:c r="I251" s="20"/>
    </x:row>
    <x:row r="252">
      <x:c r="E252" s="20"/>
      <x:c r="F252" s="20"/>
      <x:c r="G252" s="20"/>
      <x:c r="H252" s="20"/>
      <x:c r="I252" s="20"/>
    </x:row>
    <x:row r="253">
      <x:c r="E253" s="20"/>
      <x:c r="F253" s="20"/>
      <x:c r="G253" s="20"/>
      <x:c r="H253" s="20"/>
      <x:c r="I253" s="20"/>
    </x:row>
    <x:row r="254">
      <x:c r="E254" s="20"/>
      <x:c r="F254" s="20"/>
      <x:c r="G254" s="20"/>
      <x:c r="H254" s="20"/>
      <x:c r="I254" s="20"/>
    </x:row>
    <x:row r="255">
      <x:c r="E255" s="20"/>
      <x:c r="F255" s="20"/>
      <x:c r="G255" s="20"/>
      <x:c r="H255" s="20"/>
      <x:c r="I255" s="20"/>
    </x:row>
    <x:row r="256">
      <x:c r="E256" s="20"/>
      <x:c r="F256" s="20"/>
      <x:c r="G256" s="20"/>
      <x:c r="H256" s="20"/>
      <x:c r="I256" s="20"/>
    </x:row>
    <x:row r="257">
      <x:c r="E257" s="20"/>
      <x:c r="F257" s="20"/>
      <x:c r="G257" s="20"/>
      <x:c r="H257" s="20"/>
      <x:c r="I257" s="20"/>
    </x:row>
    <x:row r="258">
      <x:c r="E258" s="20"/>
      <x:c r="F258" s="20"/>
      <x:c r="G258" s="20"/>
      <x:c r="H258" s="20"/>
      <x:c r="I258" s="20"/>
    </x:row>
    <x:row r="259">
      <x:c r="E259" s="20"/>
      <x:c r="F259" s="20"/>
      <x:c r="G259" s="20"/>
      <x:c r="H259" s="20"/>
      <x:c r="I259" s="20"/>
    </x:row>
    <x:row r="260">
      <x:c r="E260" s="20"/>
      <x:c r="F260" s="20"/>
      <x:c r="G260" s="20"/>
      <x:c r="H260" s="20"/>
      <x:c r="I260" s="20"/>
    </x:row>
    <x:row r="261">
      <x:c r="E261" s="20"/>
      <x:c r="F261" s="20"/>
      <x:c r="G261" s="20"/>
      <x:c r="H261" s="20"/>
      <x:c r="I261" s="20"/>
    </x:row>
    <x:row r="262">
      <x:c r="E262" s="20"/>
      <x:c r="F262" s="20"/>
      <x:c r="G262" s="20"/>
      <x:c r="H262" s="20"/>
      <x:c r="I262" s="20"/>
    </x:row>
    <x:row r="263">
      <x:c r="E263" s="20"/>
      <x:c r="F263" s="20"/>
      <x:c r="G263" s="20"/>
      <x:c r="H263" s="20"/>
      <x:c r="I263" s="20"/>
    </x:row>
    <x:row r="264">
      <x:c r="E264" s="20"/>
      <x:c r="F264" s="20"/>
      <x:c r="G264" s="20"/>
      <x:c r="H264" s="20"/>
      <x:c r="I264" s="20"/>
    </x:row>
    <x:row r="265">
      <x:c r="E265" s="20"/>
      <x:c r="F265" s="20"/>
      <x:c r="G265" s="20"/>
      <x:c r="H265" s="20"/>
      <x:c r="I265" s="20"/>
    </x:row>
    <x:row r="266">
      <x:c r="E266" s="20"/>
      <x:c r="F266" s="20"/>
      <x:c r="G266" s="20"/>
      <x:c r="H266" s="20"/>
      <x:c r="I266" s="20"/>
    </x:row>
    <x:row r="267">
      <x:c r="E267" s="20"/>
      <x:c r="F267" s="20"/>
      <x:c r="G267" s="20"/>
      <x:c r="H267" s="20"/>
      <x:c r="I267" s="20"/>
    </x:row>
    <x:row r="268">
      <x:c r="E268" s="20"/>
      <x:c r="F268" s="20"/>
      <x:c r="G268" s="20"/>
      <x:c r="H268" s="20"/>
      <x:c r="I268" s="20"/>
    </x:row>
    <x:row r="269">
      <x:c r="E269" s="20"/>
      <x:c r="F269" s="20"/>
      <x:c r="G269" s="20"/>
      <x:c r="H269" s="20"/>
      <x:c r="I269" s="20"/>
    </x:row>
    <x:row r="270">
      <x:c r="E270" s="20"/>
      <x:c r="F270" s="20"/>
      <x:c r="G270" s="20"/>
      <x:c r="H270" s="20"/>
      <x:c r="I270" s="20"/>
    </x:row>
    <x:row r="271">
      <x:c r="E271" s="20"/>
      <x:c r="F271" s="20"/>
      <x:c r="G271" s="20"/>
      <x:c r="H271" s="20"/>
      <x:c r="I271" s="20"/>
    </x:row>
    <x:row r="272">
      <x:c r="E272" s="20"/>
      <x:c r="F272" s="20"/>
      <x:c r="G272" s="20"/>
      <x:c r="H272" s="20"/>
      <x:c r="I272" s="20"/>
    </x:row>
    <x:row r="273">
      <x:c r="E273" s="20"/>
      <x:c r="F273" s="20"/>
      <x:c r="G273" s="20"/>
      <x:c r="H273" s="20"/>
      <x:c r="I273" s="20"/>
    </x:row>
    <x:row r="274">
      <x:c r="E274" s="20"/>
      <x:c r="F274" s="20"/>
      <x:c r="G274" s="20"/>
      <x:c r="H274" s="20"/>
      <x:c r="I274" s="20"/>
    </x:row>
    <x:row r="275">
      <x:c r="E275" s="20"/>
      <x:c r="F275" s="20"/>
      <x:c r="G275" s="20"/>
      <x:c r="H275" s="20"/>
      <x:c r="I275" s="20"/>
    </x:row>
    <x:row r="276">
      <x:c r="E276" s="20"/>
      <x:c r="F276" s="20"/>
      <x:c r="G276" s="20"/>
      <x:c r="H276" s="20"/>
      <x:c r="I276" s="20"/>
    </x:row>
    <x:row r="277">
      <x:c r="E277" s="20"/>
      <x:c r="F277" s="20"/>
      <x:c r="G277" s="20"/>
      <x:c r="H277" s="20"/>
      <x:c r="I277" s="20"/>
    </x:row>
    <x:row r="278">
      <x:c r="E278" s="20"/>
      <x:c r="F278" s="20"/>
      <x:c r="G278" s="20"/>
      <x:c r="H278" s="20"/>
      <x:c r="I278" s="20"/>
    </x:row>
    <x:row r="279">
      <x:c r="E279" s="20"/>
      <x:c r="F279" s="20"/>
      <x:c r="G279" s="20"/>
      <x:c r="H279" s="20"/>
      <x:c r="I279" s="20"/>
    </x:row>
    <x:row r="280">
      <x:c r="E280" s="20"/>
      <x:c r="F280" s="20"/>
      <x:c r="G280" s="20"/>
      <x:c r="H280" s="20"/>
      <x:c r="I280" s="20"/>
    </x:row>
    <x:row r="281">
      <x:c r="E281" s="20"/>
      <x:c r="F281" s="20"/>
      <x:c r="G281" s="20"/>
      <x:c r="H281" s="20"/>
      <x:c r="I281" s="20"/>
    </x:row>
    <x:row r="282">
      <x:c r="E282" s="20"/>
      <x:c r="F282" s="20"/>
      <x:c r="G282" s="20"/>
      <x:c r="H282" s="20"/>
      <x:c r="I282" s="20"/>
    </x:row>
    <x:row r="283">
      <x:c r="E283" s="20"/>
      <x:c r="F283" s="20"/>
      <x:c r="G283" s="20"/>
      <x:c r="H283" s="20"/>
      <x:c r="I283" s="20"/>
    </x:row>
    <x:row r="284">
      <x:c r="E284" s="20"/>
      <x:c r="F284" s="20"/>
      <x:c r="G284" s="20"/>
      <x:c r="H284" s="20"/>
      <x:c r="I284" s="20"/>
    </x:row>
    <x:row r="285">
      <x:c r="E285" s="20"/>
      <x:c r="F285" s="20"/>
      <x:c r="G285" s="20"/>
      <x:c r="H285" s="20"/>
      <x:c r="I285" s="20"/>
    </x:row>
    <x:row r="286">
      <x:c r="E286" s="20"/>
      <x:c r="F286" s="20"/>
      <x:c r="G286" s="20"/>
      <x:c r="H286" s="20"/>
      <x:c r="I286" s="20"/>
    </x:row>
    <x:row r="287">
      <x:c r="E287" s="20"/>
      <x:c r="F287" s="20"/>
      <x:c r="G287" s="20"/>
      <x:c r="H287" s="20"/>
      <x:c r="I287" s="20"/>
    </x:row>
    <x:row r="288">
      <x:c r="E288" s="20"/>
      <x:c r="F288" s="20"/>
      <x:c r="G288" s="20"/>
      <x:c r="H288" s="20"/>
      <x:c r="I288" s="20"/>
    </x:row>
    <x:row r="289">
      <x:c r="E289" s="20"/>
      <x:c r="F289" s="20"/>
      <x:c r="G289" s="20"/>
      <x:c r="H289" s="20"/>
      <x:c r="I289" s="20"/>
    </x:row>
    <x:row r="290">
      <x:c r="E290" s="20"/>
      <x:c r="F290" s="20"/>
      <x:c r="G290" s="20"/>
      <x:c r="H290" s="20"/>
      <x:c r="I290" s="20"/>
    </x:row>
    <x:row r="291">
      <x:c r="E291" s="20"/>
      <x:c r="F291" s="20"/>
      <x:c r="G291" s="20"/>
      <x:c r="H291" s="20"/>
      <x:c r="I291" s="20"/>
    </x:row>
    <x:row r="292">
      <x:c r="E292" s="20"/>
      <x:c r="F292" s="20"/>
      <x:c r="G292" s="20"/>
      <x:c r="H292" s="20"/>
      <x:c r="I292" s="20"/>
    </x:row>
    <x:row r="293">
      <x:c r="E293" s="20"/>
      <x:c r="F293" s="20"/>
      <x:c r="G293" s="20"/>
      <x:c r="H293" s="20"/>
      <x:c r="I293" s="20"/>
    </x:row>
    <x:row r="294">
      <x:c r="E294" s="20"/>
      <x:c r="F294" s="20"/>
      <x:c r="G294" s="20"/>
      <x:c r="H294" s="20"/>
      <x:c r="I294" s="20"/>
    </x:row>
    <x:row r="295">
      <x:c r="E295" s="20"/>
      <x:c r="F295" s="20"/>
      <x:c r="G295" s="20"/>
      <x:c r="H295" s="20"/>
      <x:c r="I295" s="20"/>
    </x:row>
    <x:row r="296">
      <x:c r="E296" s="20"/>
      <x:c r="F296" s="20"/>
      <x:c r="G296" s="20"/>
      <x:c r="H296" s="20"/>
      <x:c r="I296" s="20"/>
    </x:row>
    <x:row r="297">
      <x:c r="E297" s="20"/>
      <x:c r="F297" s="20"/>
      <x:c r="G297" s="20"/>
      <x:c r="H297" s="20"/>
      <x:c r="I297" s="20"/>
    </x:row>
    <x:row r="298">
      <x:c r="E298" s="20"/>
      <x:c r="F298" s="20"/>
      <x:c r="G298" s="20"/>
      <x:c r="H298" s="20"/>
      <x:c r="I298" s="20"/>
    </x:row>
    <x:row r="299">
      <x:c r="E299" s="20"/>
      <x:c r="F299" s="20"/>
      <x:c r="G299" s="20"/>
      <x:c r="H299" s="20"/>
      <x:c r="I299" s="20"/>
    </x:row>
    <x:row r="300">
      <x:c r="E300" s="20"/>
      <x:c r="F300" s="20"/>
      <x:c r="G300" s="20"/>
      <x:c r="H300" s="20"/>
      <x:c r="I300" s="20"/>
    </x:row>
    <x:row r="301">
      <x:c r="E301" s="20"/>
      <x:c r="F301" s="20"/>
      <x:c r="G301" s="20"/>
      <x:c r="H301" s="20"/>
      <x:c r="I301" s="20"/>
    </x:row>
    <x:row r="302">
      <x:c r="E302" s="20"/>
      <x:c r="F302" s="20"/>
      <x:c r="G302" s="20"/>
      <x:c r="H302" s="20"/>
      <x:c r="I302" s="20"/>
    </x:row>
    <x:row r="303">
      <x:c r="E303" s="20"/>
      <x:c r="F303" s="20"/>
      <x:c r="G303" s="20"/>
      <x:c r="H303" s="20"/>
      <x:c r="I303" s="20"/>
    </x:row>
    <x:row r="304">
      <x:c r="E304" s="20"/>
      <x:c r="F304" s="20"/>
      <x:c r="G304" s="20"/>
      <x:c r="H304" s="20"/>
      <x:c r="I304" s="20"/>
    </x:row>
    <x:row r="305">
      <x:c r="E305" s="20"/>
      <x:c r="F305" s="20"/>
      <x:c r="G305" s="20"/>
      <x:c r="H305" s="20"/>
      <x:c r="I305" s="20"/>
    </x:row>
    <x:row r="306">
      <x:c r="E306" s="20"/>
      <x:c r="F306" s="20"/>
      <x:c r="G306" s="20"/>
      <x:c r="H306" s="20"/>
      <x:c r="I306" s="20"/>
    </x:row>
    <x:row r="307">
      <x:c r="E307" s="20"/>
      <x:c r="F307" s="20"/>
      <x:c r="G307" s="20"/>
      <x:c r="H307" s="20"/>
      <x:c r="I307" s="20"/>
    </x:row>
    <x:row r="308">
      <x:c r="E308" s="20"/>
      <x:c r="F308" s="20"/>
      <x:c r="G308" s="20"/>
      <x:c r="H308" s="20"/>
      <x:c r="I308" s="20"/>
    </x:row>
    <x:row r="309">
      <x:c r="E309" s="20"/>
      <x:c r="F309" s="20"/>
      <x:c r="G309" s="20"/>
      <x:c r="H309" s="20"/>
      <x:c r="I309" s="20"/>
    </x:row>
    <x:row r="310">
      <x:c r="E310" s="20"/>
      <x:c r="F310" s="20"/>
      <x:c r="G310" s="20"/>
      <x:c r="H310" s="20"/>
      <x:c r="I310" s="20"/>
    </x:row>
    <x:row r="311">
      <x:c r="E311" s="20"/>
      <x:c r="F311" s="20"/>
      <x:c r="G311" s="20"/>
      <x:c r="H311" s="20"/>
      <x:c r="I311" s="20"/>
    </x:row>
    <x:row r="312">
      <x:c r="E312" s="20"/>
      <x:c r="F312" s="20"/>
      <x:c r="G312" s="20"/>
      <x:c r="H312" s="20"/>
      <x:c r="I312" s="20"/>
    </x:row>
    <x:row r="313">
      <x:c r="E313" s="20"/>
      <x:c r="F313" s="20"/>
      <x:c r="G313" s="20"/>
      <x:c r="H313" s="20"/>
      <x:c r="I313" s="20"/>
    </x:row>
    <x:row r="314">
      <x:c r="E314" s="20"/>
      <x:c r="F314" s="20"/>
      <x:c r="G314" s="20"/>
      <x:c r="H314" s="20"/>
      <x:c r="I314" s="20"/>
    </x:row>
    <x:row r="315">
      <x:c r="E315" s="20"/>
      <x:c r="F315" s="20"/>
      <x:c r="G315" s="20"/>
      <x:c r="H315" s="20"/>
      <x:c r="I315" s="20"/>
    </x:row>
    <x:row r="316">
      <x:c r="E316" s="20"/>
      <x:c r="F316" s="20"/>
      <x:c r="G316" s="20"/>
      <x:c r="H316" s="20"/>
      <x:c r="I316" s="20"/>
    </x:row>
    <x:row r="317">
      <x:c r="E317" s="20"/>
      <x:c r="F317" s="20"/>
      <x:c r="G317" s="20"/>
      <x:c r="H317" s="20"/>
      <x:c r="I317" s="20"/>
    </x:row>
    <x:row r="318">
      <x:c r="E318" s="20"/>
      <x:c r="F318" s="20"/>
      <x:c r="G318" s="20"/>
      <x:c r="H318" s="20"/>
      <x:c r="I318" s="20"/>
    </x:row>
    <x:row r="319">
      <x:c r="E319" s="20"/>
      <x:c r="F319" s="20"/>
      <x:c r="G319" s="20"/>
      <x:c r="H319" s="20"/>
      <x:c r="I319" s="20"/>
    </x:row>
    <x:row r="320">
      <x:c r="E320" s="20"/>
      <x:c r="F320" s="20"/>
      <x:c r="G320" s="20"/>
      <x:c r="H320" s="20"/>
      <x:c r="I320" s="20"/>
    </x:row>
    <x:row r="321">
      <x:c r="E321" s="20"/>
      <x:c r="F321" s="20"/>
      <x:c r="G321" s="20"/>
      <x:c r="H321" s="20"/>
      <x:c r="I321" s="20"/>
    </x:row>
    <x:row r="322">
      <x:c r="E322" s="20"/>
      <x:c r="F322" s="20"/>
      <x:c r="G322" s="20"/>
      <x:c r="H322" s="20"/>
      <x:c r="I322" s="20"/>
    </x:row>
    <x:row r="323">
      <x:c r="E323" s="20"/>
      <x:c r="F323" s="20"/>
      <x:c r="G323" s="20"/>
      <x:c r="H323" s="20"/>
      <x:c r="I323" s="20"/>
    </x:row>
    <x:row r="324">
      <x:c r="E324" s="20"/>
      <x:c r="F324" s="20"/>
      <x:c r="G324" s="20"/>
      <x:c r="H324" s="20"/>
      <x:c r="I324" s="20"/>
    </x:row>
    <x:row r="325">
      <x:c r="E325" s="20"/>
      <x:c r="F325" s="20"/>
      <x:c r="G325" s="20"/>
      <x:c r="H325" s="20"/>
      <x:c r="I325" s="20"/>
    </x:row>
    <x:row r="326">
      <x:c r="E326" s="20"/>
      <x:c r="F326" s="20"/>
      <x:c r="G326" s="20"/>
      <x:c r="H326" s="20"/>
      <x:c r="I326" s="20"/>
    </x:row>
    <x:row r="327">
      <x:c r="E327" s="20"/>
      <x:c r="F327" s="20"/>
      <x:c r="G327" s="20"/>
      <x:c r="H327" s="20"/>
      <x:c r="I327" s="20"/>
    </x:row>
    <x:row r="328">
      <x:c r="E328" s="20"/>
      <x:c r="F328" s="20"/>
      <x:c r="G328" s="20"/>
      <x:c r="H328" s="20"/>
      <x:c r="I328" s="20"/>
    </x:row>
    <x:row r="329">
      <x:c r="E329" s="20"/>
      <x:c r="F329" s="20"/>
      <x:c r="G329" s="20"/>
      <x:c r="H329" s="20"/>
      <x:c r="I329" s="20"/>
    </x:row>
    <x:row r="330">
      <x:c r="E330" s="20"/>
      <x:c r="F330" s="20"/>
      <x:c r="G330" s="20"/>
      <x:c r="H330" s="20"/>
      <x:c r="I330" s="20"/>
    </x:row>
    <x:row r="331">
      <x:c r="E331" s="20"/>
      <x:c r="F331" s="20"/>
      <x:c r="G331" s="20"/>
      <x:c r="H331" s="20"/>
      <x:c r="I331" s="20"/>
    </x:row>
    <x:row r="332">
      <x:c r="E332" s="20"/>
      <x:c r="F332" s="20"/>
      <x:c r="G332" s="20"/>
      <x:c r="H332" s="20"/>
      <x:c r="I332" s="20"/>
    </x:row>
    <x:row r="333">
      <x:c r="E333" s="20"/>
      <x:c r="F333" s="20"/>
      <x:c r="G333" s="20"/>
      <x:c r="H333" s="20"/>
      <x:c r="I333" s="20"/>
    </x:row>
    <x:row r="334">
      <x:c r="E334" s="20"/>
      <x:c r="F334" s="20"/>
      <x:c r="G334" s="20"/>
      <x:c r="H334" s="20"/>
      <x:c r="I334" s="20"/>
    </x:row>
    <x:row r="335">
      <x:c r="E335" s="20"/>
      <x:c r="F335" s="20"/>
      <x:c r="G335" s="20"/>
      <x:c r="H335" s="20"/>
      <x:c r="I335" s="20"/>
    </x:row>
    <x:row r="336">
      <x:c r="E336" s="20"/>
      <x:c r="F336" s="20"/>
      <x:c r="G336" s="20"/>
      <x:c r="H336" s="20"/>
      <x:c r="I336" s="20"/>
    </x:row>
    <x:row r="337">
      <x:c r="E337" s="20"/>
      <x:c r="F337" s="20"/>
      <x:c r="G337" s="20"/>
      <x:c r="H337" s="20"/>
      <x:c r="I337" s="20"/>
    </x:row>
    <x:row r="338">
      <x:c r="E338" s="20"/>
      <x:c r="F338" s="20"/>
      <x:c r="G338" s="20"/>
      <x:c r="H338" s="20"/>
      <x:c r="I338" s="20"/>
    </x:row>
    <x:row r="339">
      <x:c r="E339" s="20"/>
      <x:c r="F339" s="20"/>
      <x:c r="G339" s="20"/>
      <x:c r="H339" s="20"/>
      <x:c r="I339" s="20"/>
    </x:row>
    <x:row r="340">
      <x:c r="E340" s="20"/>
      <x:c r="F340" s="20"/>
      <x:c r="G340" s="20"/>
      <x:c r="H340" s="20"/>
      <x:c r="I340" s="20"/>
    </x:row>
    <x:row r="341">
      <x:c r="E341" s="20"/>
      <x:c r="F341" s="20"/>
      <x:c r="G341" s="20"/>
      <x:c r="H341" s="20"/>
      <x:c r="I341" s="20"/>
    </x:row>
    <x:row r="342">
      <x:c r="E342" s="20"/>
      <x:c r="F342" s="20"/>
      <x:c r="G342" s="20"/>
      <x:c r="H342" s="20"/>
      <x:c r="I342" s="20"/>
    </x:row>
    <x:row r="343">
      <x:c r="E343" s="20"/>
      <x:c r="F343" s="20"/>
      <x:c r="G343" s="20"/>
      <x:c r="H343" s="20"/>
      <x:c r="I343" s="20"/>
    </x:row>
    <x:row r="344">
      <x:c r="E344" s="20"/>
      <x:c r="F344" s="20"/>
      <x:c r="G344" s="20"/>
      <x:c r="H344" s="20"/>
      <x:c r="I344" s="20"/>
    </x:row>
    <x:row r="345">
      <x:c r="E345" s="20"/>
      <x:c r="F345" s="20"/>
      <x:c r="G345" s="20"/>
      <x:c r="H345" s="20"/>
      <x:c r="I345" s="20"/>
    </x:row>
    <x:row r="346">
      <x:c r="E346" s="20"/>
      <x:c r="F346" s="20"/>
      <x:c r="G346" s="20"/>
      <x:c r="H346" s="20"/>
      <x:c r="I346" s="20"/>
    </x:row>
    <x:row r="347">
      <x:c r="E347" s="20"/>
      <x:c r="F347" s="20"/>
      <x:c r="G347" s="20"/>
      <x:c r="H347" s="20"/>
      <x:c r="I347" s="20"/>
    </x:row>
    <x:row r="348">
      <x:c r="E348" s="20"/>
      <x:c r="F348" s="20"/>
      <x:c r="G348" s="20"/>
      <x:c r="H348" s="20"/>
      <x:c r="I348" s="20"/>
    </x:row>
    <x:row r="349">
      <x:c r="E349" s="20"/>
      <x:c r="F349" s="20"/>
      <x:c r="G349" s="20"/>
      <x:c r="H349" s="20"/>
      <x:c r="I349" s="20"/>
    </x:row>
    <x:row r="350">
      <x:c r="E350" s="20"/>
      <x:c r="F350" s="20"/>
      <x:c r="G350" s="20"/>
      <x:c r="H350" s="20"/>
      <x:c r="I350" s="20"/>
    </x:row>
    <x:row r="351">
      <x:c r="E351" s="20"/>
      <x:c r="F351" s="20"/>
      <x:c r="G351" s="20"/>
      <x:c r="H351" s="20"/>
      <x:c r="I351" s="20"/>
    </x:row>
    <x:row r="352">
      <x:c r="E352" s="20"/>
      <x:c r="F352" s="20"/>
      <x:c r="G352" s="20"/>
      <x:c r="H352" s="20"/>
      <x:c r="I352" s="20"/>
    </x:row>
    <x:row r="353">
      <x:c r="E353" s="20"/>
      <x:c r="F353" s="20"/>
      <x:c r="G353" s="20"/>
      <x:c r="H353" s="20"/>
      <x:c r="I353" s="20"/>
    </x:row>
    <x:row r="354">
      <x:c r="E354" s="20"/>
      <x:c r="F354" s="20"/>
      <x:c r="G354" s="20"/>
      <x:c r="H354" s="20"/>
      <x:c r="I354" s="20"/>
    </x:row>
    <x:row r="355">
      <x:c r="E355" s="20"/>
      <x:c r="F355" s="20"/>
      <x:c r="G355" s="20"/>
      <x:c r="H355" s="20"/>
      <x:c r="I355" s="20"/>
    </x:row>
    <x:row r="356">
      <x:c r="E356" s="20"/>
      <x:c r="F356" s="20"/>
      <x:c r="G356" s="20"/>
      <x:c r="H356" s="20"/>
      <x:c r="I356" s="20"/>
    </x:row>
    <x:row r="357">
      <x:c r="E357" s="20"/>
      <x:c r="F357" s="20"/>
      <x:c r="G357" s="20"/>
      <x:c r="H357" s="20"/>
      <x:c r="I357" s="20"/>
    </x:row>
    <x:row r="358">
      <x:c r="E358" s="20"/>
      <x:c r="F358" s="20"/>
      <x:c r="G358" s="20"/>
      <x:c r="H358" s="20"/>
      <x:c r="I358" s="20"/>
    </x:row>
    <x:row r="359">
      <x:c r="E359" s="20"/>
      <x:c r="F359" s="20"/>
      <x:c r="G359" s="20"/>
      <x:c r="H359" s="20"/>
      <x:c r="I359" s="20"/>
    </x:row>
    <x:row r="360">
      <x:c r="E360" s="20"/>
      <x:c r="F360" s="20"/>
      <x:c r="G360" s="20"/>
      <x:c r="H360" s="20"/>
      <x:c r="I360" s="20"/>
    </x:row>
    <x:row r="361">
      <x:c r="E361" s="20"/>
      <x:c r="F361" s="20"/>
      <x:c r="G361" s="20"/>
      <x:c r="H361" s="20"/>
      <x:c r="I361" s="20"/>
    </x:row>
    <x:row r="362">
      <x:c r="E362" s="20"/>
      <x:c r="F362" s="20"/>
      <x:c r="G362" s="20"/>
      <x:c r="H362" s="20"/>
      <x:c r="I362" s="20"/>
    </x:row>
    <x:row r="363">
      <x:c r="E363" s="20"/>
      <x:c r="F363" s="20"/>
      <x:c r="G363" s="20"/>
      <x:c r="H363" s="20"/>
      <x:c r="I363" s="20"/>
    </x:row>
    <x:row r="364">
      <x:c r="E364" s="20"/>
      <x:c r="F364" s="20"/>
      <x:c r="G364" s="20"/>
      <x:c r="H364" s="20"/>
      <x:c r="I364" s="20"/>
    </x:row>
    <x:row r="365">
      <x:c r="E365" s="20"/>
      <x:c r="F365" s="20"/>
      <x:c r="G365" s="20"/>
      <x:c r="H365" s="20"/>
      <x:c r="I365" s="20"/>
    </x:row>
    <x:row r="366">
      <x:c r="E366" s="20"/>
      <x:c r="F366" s="20"/>
      <x:c r="G366" s="20"/>
      <x:c r="H366" s="20"/>
      <x:c r="I366" s="20"/>
    </x:row>
    <x:row r="367">
      <x:c r="E367" s="20"/>
      <x:c r="F367" s="20"/>
      <x:c r="G367" s="20"/>
      <x:c r="H367" s="20"/>
      <x:c r="I367" s="20"/>
    </x:row>
    <x:row r="368">
      <x:c r="E368" s="20"/>
      <x:c r="F368" s="20"/>
      <x:c r="G368" s="20"/>
      <x:c r="H368" s="20"/>
      <x:c r="I368" s="20"/>
    </x:row>
    <x:row r="369">
      <x:c r="E369" s="20"/>
      <x:c r="F369" s="20"/>
      <x:c r="G369" s="20"/>
      <x:c r="H369" s="20"/>
      <x:c r="I369" s="20"/>
    </x:row>
    <x:row r="370">
      <x:c r="E370" s="20"/>
      <x:c r="F370" s="20"/>
      <x:c r="G370" s="20"/>
      <x:c r="H370" s="20"/>
      <x:c r="I370" s="20"/>
    </x:row>
    <x:row r="371">
      <x:c r="E371" s="20"/>
      <x:c r="F371" s="20"/>
      <x:c r="G371" s="20"/>
      <x:c r="H371" s="20"/>
      <x:c r="I371" s="20"/>
    </x:row>
    <x:row r="372">
      <x:c r="E372" s="20"/>
      <x:c r="F372" s="20"/>
      <x:c r="G372" s="20"/>
      <x:c r="H372" s="20"/>
      <x:c r="I372" s="20"/>
    </x:row>
    <x:row r="373">
      <x:c r="E373" s="20"/>
      <x:c r="F373" s="20"/>
      <x:c r="G373" s="20"/>
      <x:c r="H373" s="20"/>
      <x:c r="I373" s="20"/>
    </x:row>
    <x:row r="374">
      <x:c r="E374" s="20"/>
      <x:c r="F374" s="20"/>
      <x:c r="G374" s="20"/>
      <x:c r="H374" s="20"/>
      <x:c r="I374" s="20"/>
    </x:row>
    <x:row r="375">
      <x:c r="E375" s="20"/>
      <x:c r="F375" s="20"/>
      <x:c r="G375" s="20"/>
      <x:c r="H375" s="20"/>
      <x:c r="I375" s="20"/>
    </x:row>
    <x:row r="376">
      <x:c r="E376" s="20"/>
      <x:c r="F376" s="20"/>
      <x:c r="G376" s="20"/>
      <x:c r="H376" s="20"/>
      <x:c r="I376" s="20"/>
    </x:row>
    <x:row r="377">
      <x:c r="E377" s="20"/>
      <x:c r="F377" s="20"/>
      <x:c r="G377" s="20"/>
      <x:c r="H377" s="20"/>
      <x:c r="I377" s="20"/>
    </x:row>
    <x:row r="378">
      <x:c r="E378" s="20"/>
      <x:c r="F378" s="20"/>
      <x:c r="G378" s="20"/>
      <x:c r="H378" s="20"/>
      <x:c r="I378" s="20"/>
    </x:row>
    <x:row r="379">
      <x:c r="E379" s="20"/>
      <x:c r="F379" s="20"/>
      <x:c r="G379" s="20"/>
      <x:c r="H379" s="20"/>
      <x:c r="I379" s="20"/>
    </x:row>
    <x:row r="380">
      <x:c r="E380" s="20"/>
      <x:c r="F380" s="20"/>
      <x:c r="G380" s="20"/>
      <x:c r="H380" s="20"/>
      <x:c r="I380" s="20"/>
    </x:row>
    <x:row r="381">
      <x:c r="E381" s="20"/>
      <x:c r="F381" s="20"/>
      <x:c r="G381" s="20"/>
      <x:c r="H381" s="20"/>
      <x:c r="I381" s="20"/>
    </x:row>
    <x:row r="382">
      <x:c r="E382" s="20"/>
      <x:c r="F382" s="20"/>
      <x:c r="G382" s="20"/>
      <x:c r="H382" s="20"/>
      <x:c r="I382" s="20"/>
    </x:row>
    <x:row r="383">
      <x:c r="E383" s="20"/>
      <x:c r="F383" s="20"/>
      <x:c r="G383" s="20"/>
      <x:c r="H383" s="20"/>
      <x:c r="I383" s="20"/>
    </x:row>
    <x:row r="384">
      <x:c r="E384" s="20"/>
      <x:c r="F384" s="20"/>
      <x:c r="G384" s="20"/>
      <x:c r="H384" s="20"/>
      <x:c r="I384" s="20"/>
    </x:row>
    <x:row r="385">
      <x:c r="E385" s="20"/>
      <x:c r="F385" s="20"/>
      <x:c r="G385" s="20"/>
      <x:c r="H385" s="20"/>
      <x:c r="I385" s="20"/>
    </x:row>
    <x:row r="386">
      <x:c r="E386" s="20"/>
      <x:c r="F386" s="20"/>
      <x:c r="G386" s="20"/>
      <x:c r="H386" s="20"/>
      <x:c r="I386" s="20"/>
    </x:row>
    <x:row r="387">
      <x:c r="E387" s="20"/>
      <x:c r="F387" s="20"/>
      <x:c r="G387" s="20"/>
      <x:c r="H387" s="20"/>
      <x:c r="I387" s="20"/>
    </x:row>
    <x:row r="388">
      <x:c r="E388" s="20"/>
      <x:c r="F388" s="20"/>
      <x:c r="G388" s="20"/>
      <x:c r="H388" s="20"/>
      <x:c r="I388" s="20"/>
    </x:row>
    <x:row r="389">
      <x:c r="E389" s="20"/>
      <x:c r="F389" s="20"/>
      <x:c r="G389" s="20"/>
      <x:c r="H389" s="20"/>
      <x:c r="I389" s="20"/>
    </x:row>
    <x:row r="390">
      <x:c r="E390" s="20"/>
      <x:c r="F390" s="20"/>
      <x:c r="G390" s="20"/>
      <x:c r="H390" s="20"/>
      <x:c r="I390" s="20"/>
    </x:row>
    <x:row r="391">
      <x:c r="E391" s="20"/>
      <x:c r="F391" s="20"/>
      <x:c r="G391" s="20"/>
      <x:c r="H391" s="20"/>
      <x:c r="I391" s="20"/>
    </x:row>
    <x:row r="392">
      <x:c r="E392" s="20"/>
      <x:c r="F392" s="20"/>
      <x:c r="G392" s="20"/>
      <x:c r="H392" s="20"/>
      <x:c r="I392" s="20"/>
    </x:row>
    <x:row r="393">
      <x:c r="E393" s="20"/>
      <x:c r="F393" s="20"/>
      <x:c r="G393" s="20"/>
      <x:c r="H393" s="20"/>
      <x:c r="I393" s="20"/>
    </x:row>
    <x:row r="394">
      <x:c r="E394" s="20"/>
      <x:c r="F394" s="20"/>
      <x:c r="G394" s="20"/>
      <x:c r="H394" s="20"/>
      <x:c r="I394" s="20"/>
    </x:row>
    <x:row r="395">
      <x:c r="E395" s="20"/>
      <x:c r="F395" s="20"/>
      <x:c r="G395" s="20"/>
      <x:c r="H395" s="20"/>
      <x:c r="I395" s="20"/>
    </x:row>
    <x:row r="396">
      <x:c r="E396" s="20"/>
      <x:c r="F396" s="20"/>
      <x:c r="G396" s="20"/>
      <x:c r="H396" s="20"/>
      <x:c r="I396" s="20"/>
    </x:row>
    <x:row r="397">
      <x:c r="E397" s="20"/>
      <x:c r="F397" s="20"/>
      <x:c r="G397" s="20"/>
      <x:c r="H397" s="20"/>
      <x:c r="I397" s="20"/>
    </x:row>
    <x:row r="398">
      <x:c r="E398" s="20"/>
      <x:c r="F398" s="20"/>
      <x:c r="G398" s="20"/>
      <x:c r="H398" s="20"/>
      <x:c r="I398" s="20"/>
    </x:row>
    <x:row r="399">
      <x:c r="E399" s="20"/>
      <x:c r="F399" s="20"/>
      <x:c r="G399" s="20"/>
      <x:c r="H399" s="20"/>
      <x:c r="I399" s="20"/>
    </x:row>
    <x:row r="400">
      <x:c r="E400" s="20"/>
      <x:c r="F400" s="20"/>
      <x:c r="G400" s="20"/>
      <x:c r="H400" s="20"/>
      <x:c r="I400" s="20"/>
    </x:row>
    <x:row r="401">
      <x:c r="E401" s="20"/>
      <x:c r="F401" s="20"/>
      <x:c r="G401" s="20"/>
      <x:c r="H401" s="20"/>
      <x:c r="I401" s="20"/>
    </x:row>
    <x:row r="402">
      <x:c r="E402" s="20"/>
      <x:c r="F402" s="20"/>
      <x:c r="G402" s="20"/>
      <x:c r="H402" s="20"/>
      <x:c r="I402" s="20"/>
    </x:row>
    <x:row r="403">
      <x:c r="E403" s="20"/>
      <x:c r="F403" s="20"/>
      <x:c r="G403" s="20"/>
      <x:c r="H403" s="20"/>
      <x:c r="I403" s="20"/>
    </x:row>
    <x:row r="404">
      <x:c r="E404" s="20"/>
      <x:c r="F404" s="20"/>
      <x:c r="G404" s="20"/>
      <x:c r="H404" s="20"/>
      <x:c r="I404" s="20"/>
    </x:row>
    <x:row r="405">
      <x:c r="E405" s="20"/>
      <x:c r="F405" s="20"/>
      <x:c r="G405" s="20"/>
      <x:c r="H405" s="20"/>
      <x:c r="I405" s="20"/>
    </x:row>
    <x:row r="406">
      <x:c r="E406" s="20"/>
      <x:c r="F406" s="20"/>
      <x:c r="G406" s="20"/>
      <x:c r="H406" s="20"/>
      <x:c r="I406" s="20"/>
    </x:row>
    <x:row r="407">
      <x:c r="E407" s="20"/>
      <x:c r="F407" s="20"/>
      <x:c r="G407" s="20"/>
      <x:c r="H407" s="20"/>
      <x:c r="I407" s="20"/>
    </x:row>
    <x:row r="408">
      <x:c r="E408" s="20"/>
      <x:c r="F408" s="20"/>
      <x:c r="G408" s="20"/>
      <x:c r="H408" s="20"/>
      <x:c r="I408" s="20"/>
    </x:row>
    <x:row r="409">
      <x:c r="E409" s="20"/>
      <x:c r="F409" s="20"/>
      <x:c r="G409" s="20"/>
      <x:c r="H409" s="20"/>
      <x:c r="I409" s="20"/>
    </x:row>
    <x:row r="410">
      <x:c r="E410" s="20"/>
      <x:c r="F410" s="20"/>
      <x:c r="G410" s="20"/>
      <x:c r="H410" s="20"/>
      <x:c r="I410" s="20"/>
    </x:row>
    <x:row r="411">
      <x:c r="E411" s="20"/>
      <x:c r="F411" s="20"/>
      <x:c r="G411" s="20"/>
      <x:c r="H411" s="20"/>
      <x:c r="I411" s="20"/>
    </x:row>
    <x:row r="412">
      <x:c r="E412" s="20"/>
      <x:c r="F412" s="20"/>
      <x:c r="G412" s="20"/>
      <x:c r="H412" s="20"/>
      <x:c r="I412" s="20"/>
    </x:row>
    <x:row r="413">
      <x:c r="E413" s="20"/>
      <x:c r="F413" s="20"/>
      <x:c r="G413" s="20"/>
      <x:c r="H413" s="20"/>
      <x:c r="I413" s="20"/>
    </x:row>
    <x:row r="414">
      <x:c r="E414" s="20"/>
      <x:c r="F414" s="20"/>
      <x:c r="G414" s="20"/>
      <x:c r="H414" s="20"/>
      <x:c r="I414" s="20"/>
    </x:row>
    <x:row r="415">
      <x:c r="E415" s="20"/>
      <x:c r="F415" s="20"/>
      <x:c r="G415" s="20"/>
      <x:c r="H415" s="20"/>
      <x:c r="I415" s="20"/>
    </x:row>
    <x:row r="416">
      <x:c r="E416" s="20"/>
      <x:c r="F416" s="20"/>
      <x:c r="G416" s="20"/>
      <x:c r="H416" s="20"/>
      <x:c r="I416" s="20"/>
    </x:row>
    <x:row r="417">
      <x:c r="E417" s="20"/>
      <x:c r="F417" s="20"/>
      <x:c r="G417" s="20"/>
      <x:c r="H417" s="20"/>
      <x:c r="I417" s="20"/>
    </x:row>
    <x:row r="418">
      <x:c r="E418" s="20"/>
      <x:c r="F418" s="20"/>
      <x:c r="G418" s="20"/>
      <x:c r="H418" s="20"/>
      <x:c r="I418" s="20"/>
    </x:row>
    <x:row r="419">
      <x:c r="E419" s="20"/>
      <x:c r="F419" s="20"/>
      <x:c r="G419" s="20"/>
      <x:c r="H419" s="20"/>
      <x:c r="I419" s="20"/>
    </x:row>
    <x:row r="420">
      <x:c r="E420" s="20"/>
      <x:c r="F420" s="20"/>
      <x:c r="G420" s="20"/>
      <x:c r="H420" s="20"/>
      <x:c r="I420" s="20"/>
    </x:row>
    <x:row r="421">
      <x:c r="E421" s="20"/>
      <x:c r="F421" s="20"/>
      <x:c r="G421" s="20"/>
      <x:c r="H421" s="20"/>
      <x:c r="I421" s="20"/>
    </x:row>
    <x:row r="422">
      <x:c r="E422" s="20"/>
      <x:c r="F422" s="20"/>
      <x:c r="G422" s="20"/>
      <x:c r="H422" s="20"/>
      <x:c r="I422" s="20"/>
    </x:row>
    <x:row r="423">
      <x:c r="E423" s="20"/>
      <x:c r="F423" s="20"/>
      <x:c r="G423" s="20"/>
      <x:c r="H423" s="20"/>
      <x:c r="I423" s="20"/>
    </x:row>
    <x:row r="424">
      <x:c r="E424" s="20"/>
      <x:c r="F424" s="20"/>
      <x:c r="G424" s="20"/>
      <x:c r="H424" s="20"/>
      <x:c r="I424" s="20"/>
    </x:row>
    <x:row r="425">
      <x:c r="E425" s="20"/>
      <x:c r="F425" s="20"/>
      <x:c r="G425" s="20"/>
      <x:c r="H425" s="20"/>
      <x:c r="I425" s="20"/>
    </x:row>
    <x:row r="426">
      <x:c r="E426" s="20"/>
      <x:c r="F426" s="20"/>
      <x:c r="G426" s="20"/>
      <x:c r="H426" s="20"/>
      <x:c r="I426" s="20"/>
    </x:row>
    <x:row r="427">
      <x:c r="E427" s="20"/>
      <x:c r="F427" s="20"/>
      <x:c r="G427" s="20"/>
      <x:c r="H427" s="20"/>
      <x:c r="I427" s="20"/>
    </x:row>
    <x:row r="428">
      <x:c r="E428" s="20"/>
      <x:c r="F428" s="20"/>
      <x:c r="G428" s="20"/>
      <x:c r="H428" s="20"/>
      <x:c r="I428" s="20"/>
    </x:row>
    <x:row r="429">
      <x:c r="E429" s="20"/>
      <x:c r="F429" s="20"/>
      <x:c r="G429" s="20"/>
      <x:c r="H429" s="20"/>
      <x:c r="I429" s="20"/>
    </x:row>
    <x:row r="430">
      <x:c r="E430" s="20"/>
      <x:c r="F430" s="20"/>
      <x:c r="G430" s="20"/>
      <x:c r="H430" s="20"/>
      <x:c r="I430" s="20"/>
    </x:row>
    <x:row r="431">
      <x:c r="E431" s="20"/>
      <x:c r="F431" s="20"/>
      <x:c r="G431" s="20"/>
      <x:c r="H431" s="20"/>
      <x:c r="I431" s="20"/>
    </x:row>
    <x:row r="432">
      <x:c r="E432" s="20"/>
      <x:c r="F432" s="20"/>
      <x:c r="G432" s="20"/>
      <x:c r="H432" s="20"/>
      <x:c r="I432" s="20"/>
    </x:row>
    <x:row r="433">
      <x:c r="E433" s="20"/>
      <x:c r="F433" s="20"/>
      <x:c r="G433" s="20"/>
      <x:c r="H433" s="20"/>
      <x:c r="I433" s="20"/>
    </x:row>
    <x:row r="434">
      <x:c r="E434" s="20"/>
      <x:c r="F434" s="20"/>
      <x:c r="G434" s="20"/>
      <x:c r="H434" s="20"/>
      <x:c r="I434" s="20"/>
    </x:row>
    <x:row r="435">
      <x:c r="E435" s="20"/>
      <x:c r="F435" s="20"/>
      <x:c r="G435" s="20"/>
      <x:c r="H435" s="20"/>
      <x:c r="I435" s="20"/>
    </x:row>
    <x:row r="436">
      <x:c r="E436" s="20"/>
      <x:c r="F436" s="20"/>
      <x:c r="G436" s="20"/>
      <x:c r="H436" s="20"/>
      <x:c r="I436" s="20"/>
    </x:row>
    <x:row r="437">
      <x:c r="E437" s="20"/>
      <x:c r="F437" s="20"/>
      <x:c r="G437" s="20"/>
      <x:c r="H437" s="20"/>
      <x:c r="I437" s="20"/>
    </x:row>
    <x:row r="438">
      <x:c r="E438" s="20"/>
      <x:c r="F438" s="20"/>
      <x:c r="G438" s="20"/>
      <x:c r="H438" s="20"/>
      <x:c r="I438" s="20"/>
    </x:row>
    <x:row r="439">
      <x:c r="E439" s="20"/>
      <x:c r="F439" s="20"/>
      <x:c r="G439" s="20"/>
      <x:c r="H439" s="20"/>
      <x:c r="I439" s="20"/>
    </x:row>
    <x:row r="440">
      <x:c r="E440" s="20"/>
      <x:c r="F440" s="20"/>
      <x:c r="G440" s="20"/>
      <x:c r="H440" s="20"/>
      <x:c r="I440" s="20"/>
    </x:row>
    <x:row r="441">
      <x:c r="E441" s="20"/>
      <x:c r="F441" s="20"/>
      <x:c r="G441" s="20"/>
      <x:c r="H441" s="20"/>
      <x:c r="I441" s="20"/>
    </x:row>
    <x:row r="442">
      <x:c r="E442" s="20"/>
      <x:c r="F442" s="20"/>
      <x:c r="G442" s="20"/>
      <x:c r="H442" s="20"/>
      <x:c r="I442" s="20"/>
    </x:row>
    <x:row r="443">
      <x:c r="E443" s="20"/>
      <x:c r="F443" s="20"/>
      <x:c r="G443" s="20"/>
      <x:c r="H443" s="20"/>
      <x:c r="I443" s="20"/>
    </x:row>
    <x:row r="444">
      <x:c r="E444" s="20"/>
      <x:c r="F444" s="20"/>
      <x:c r="G444" s="20"/>
      <x:c r="H444" s="20"/>
      <x:c r="I444" s="20"/>
    </x:row>
    <x:row r="445">
      <x:c r="E445" s="20"/>
      <x:c r="F445" s="20"/>
      <x:c r="G445" s="20"/>
      <x:c r="H445" s="20"/>
      <x:c r="I445" s="20"/>
    </x:row>
    <x:row r="446">
      <x:c r="E446" s="20"/>
      <x:c r="F446" s="20"/>
      <x:c r="G446" s="20"/>
      <x:c r="H446" s="20"/>
      <x:c r="I446" s="20"/>
    </x:row>
    <x:row r="447">
      <x:c r="E447" s="20"/>
      <x:c r="F447" s="20"/>
      <x:c r="G447" s="20"/>
      <x:c r="H447" s="20"/>
      <x:c r="I447" s="20"/>
    </x:row>
    <x:row r="448">
      <x:c r="E448" s="20"/>
      <x:c r="F448" s="20"/>
      <x:c r="G448" s="20"/>
      <x:c r="H448" s="20"/>
      <x:c r="I448" s="20"/>
    </x:row>
    <x:row r="449">
      <x:c r="E449" s="20"/>
      <x:c r="F449" s="20"/>
      <x:c r="G449" s="20"/>
      <x:c r="H449" s="20"/>
      <x:c r="I449" s="20"/>
    </x:row>
    <x:row r="450">
      <x:c r="E450" s="20"/>
      <x:c r="F450" s="20"/>
      <x:c r="G450" s="20"/>
      <x:c r="H450" s="20"/>
      <x:c r="I450" s="20"/>
    </x:row>
    <x:row r="451">
      <x:c r="E451" s="20"/>
      <x:c r="F451" s="20"/>
      <x:c r="G451" s="20"/>
      <x:c r="H451" s="20"/>
      <x:c r="I451" s="20"/>
    </x:row>
    <x:row r="452">
      <x:c r="E452" s="20"/>
      <x:c r="F452" s="20"/>
      <x:c r="G452" s="20"/>
      <x:c r="H452" s="20"/>
      <x:c r="I452" s="20"/>
    </x:row>
    <x:row r="453">
      <x:c r="E453" s="20"/>
      <x:c r="F453" s="20"/>
      <x:c r="G453" s="20"/>
      <x:c r="H453" s="20"/>
      <x:c r="I453" s="20"/>
    </x:row>
    <x:row r="454">
      <x:c r="E454" s="20"/>
      <x:c r="F454" s="20"/>
      <x:c r="G454" s="20"/>
      <x:c r="H454" s="20"/>
      <x:c r="I454" s="20"/>
    </x:row>
    <x:row r="455">
      <x:c r="E455" s="20"/>
      <x:c r="F455" s="20"/>
      <x:c r="G455" s="20"/>
      <x:c r="H455" s="20"/>
      <x:c r="I455" s="20"/>
    </x:row>
    <x:row r="456">
      <x:c r="E456" s="20"/>
      <x:c r="F456" s="20"/>
      <x:c r="G456" s="20"/>
      <x:c r="H456" s="20"/>
      <x:c r="I456" s="20"/>
    </x:row>
    <x:row r="457">
      <x:c r="E457" s="20"/>
      <x:c r="F457" s="20"/>
      <x:c r="G457" s="20"/>
      <x:c r="H457" s="20"/>
      <x:c r="I457" s="20"/>
    </x:row>
    <x:row r="458">
      <x:c r="E458" s="20"/>
      <x:c r="F458" s="20"/>
      <x:c r="G458" s="20"/>
      <x:c r="H458" s="20"/>
      <x:c r="I458" s="20"/>
    </x:row>
    <x:row r="459">
      <x:c r="E459" s="20"/>
      <x:c r="F459" s="20"/>
      <x:c r="G459" s="20"/>
      <x:c r="H459" s="20"/>
      <x:c r="I459" s="20"/>
    </x:row>
    <x:row r="460">
      <x:c r="E460" s="20"/>
      <x:c r="F460" s="20"/>
      <x:c r="G460" s="20"/>
      <x:c r="H460" s="20"/>
      <x:c r="I460" s="20"/>
    </x:row>
    <x:row r="461">
      <x:c r="E461" s="20"/>
      <x:c r="F461" s="20"/>
      <x:c r="G461" s="20"/>
      <x:c r="H461" s="20"/>
      <x:c r="I461" s="20"/>
    </x:row>
    <x:row r="462">
      <x:c r="E462" s="20"/>
      <x:c r="F462" s="20"/>
      <x:c r="G462" s="20"/>
      <x:c r="H462" s="20"/>
      <x:c r="I462" s="20"/>
    </x:row>
    <x:row r="463">
      <x:c r="E463" s="20"/>
      <x:c r="F463" s="20"/>
      <x:c r="G463" s="20"/>
      <x:c r="H463" s="20"/>
      <x:c r="I463" s="20"/>
    </x:row>
    <x:row r="464">
      <x:c r="E464" s="20"/>
      <x:c r="F464" s="20"/>
      <x:c r="G464" s="20"/>
      <x:c r="H464" s="20"/>
      <x:c r="I464" s="20"/>
    </x:row>
    <x:row r="465">
      <x:c r="E465" s="20"/>
      <x:c r="F465" s="20"/>
      <x:c r="G465" s="20"/>
      <x:c r="H465" s="20"/>
      <x:c r="I465" s="20"/>
    </x:row>
    <x:row r="466">
      <x:c r="E466" s="20"/>
      <x:c r="F466" s="20"/>
      <x:c r="G466" s="20"/>
      <x:c r="H466" s="20"/>
      <x:c r="I466" s="20"/>
    </x:row>
    <x:row r="467">
      <x:c r="E467" s="20"/>
      <x:c r="F467" s="20"/>
      <x:c r="G467" s="20"/>
      <x:c r="H467" s="20"/>
      <x:c r="I467" s="20"/>
    </x:row>
    <x:row r="468">
      <x:c r="E468" s="20"/>
      <x:c r="F468" s="20"/>
      <x:c r="G468" s="20"/>
      <x:c r="H468" s="20"/>
      <x:c r="I468" s="20"/>
    </x:row>
    <x:row r="469">
      <x:c r="E469" s="20"/>
      <x:c r="F469" s="20"/>
      <x:c r="G469" s="20"/>
      <x:c r="H469" s="20"/>
      <x:c r="I469" s="20"/>
    </x:row>
    <x:row r="470">
      <x:c r="E470" s="20"/>
      <x:c r="F470" s="20"/>
      <x:c r="G470" s="20"/>
      <x:c r="H470" s="20"/>
      <x:c r="I470" s="20"/>
    </x:row>
    <x:row r="471">
      <x:c r="E471" s="20"/>
      <x:c r="F471" s="20"/>
      <x:c r="G471" s="20"/>
      <x:c r="H471" s="20"/>
      <x:c r="I471" s="20"/>
    </x:row>
    <x:row r="472">
      <x:c r="E472" s="20"/>
      <x:c r="F472" s="20"/>
      <x:c r="G472" s="20"/>
      <x:c r="H472" s="20"/>
      <x:c r="I472" s="20"/>
    </x:row>
    <x:row r="473">
      <x:c r="E473" s="20"/>
      <x:c r="F473" s="20"/>
      <x:c r="G473" s="20"/>
      <x:c r="H473" s="20"/>
      <x:c r="I473" s="20"/>
    </x:row>
    <x:row r="474">
      <x:c r="E474" s="20"/>
      <x:c r="F474" s="20"/>
      <x:c r="G474" s="20"/>
      <x:c r="H474" s="20"/>
      <x:c r="I474" s="20"/>
    </x:row>
    <x:row r="475">
      <x:c r="E475" s="20"/>
      <x:c r="F475" s="20"/>
      <x:c r="G475" s="20"/>
      <x:c r="H475" s="20"/>
      <x:c r="I475" s="20"/>
    </x:row>
    <x:row r="476">
      <x:c r="E476" s="20"/>
      <x:c r="F476" s="20"/>
      <x:c r="G476" s="20"/>
      <x:c r="H476" s="20"/>
      <x:c r="I476" s="20"/>
    </x:row>
    <x:row r="477">
      <x:c r="E477" s="20"/>
      <x:c r="F477" s="20"/>
      <x:c r="G477" s="20"/>
      <x:c r="H477" s="20"/>
      <x:c r="I477" s="20"/>
    </x:row>
    <x:row r="478">
      <x:c r="E478" s="20"/>
      <x:c r="F478" s="20"/>
      <x:c r="G478" s="20"/>
      <x:c r="H478" s="20"/>
      <x:c r="I478" s="20"/>
    </x:row>
    <x:row r="479">
      <x:c r="E479" s="20"/>
      <x:c r="F479" s="20"/>
      <x:c r="G479" s="20"/>
      <x:c r="H479" s="20"/>
      <x:c r="I479" s="20"/>
    </x:row>
    <x:row r="480">
      <x:c r="E480" s="20"/>
      <x:c r="F480" s="20"/>
      <x:c r="G480" s="20"/>
      <x:c r="H480" s="20"/>
      <x:c r="I480" s="20"/>
    </x:row>
    <x:row r="481">
      <x:c r="E481" s="20"/>
      <x:c r="F481" s="20"/>
      <x:c r="G481" s="20"/>
      <x:c r="H481" s="20"/>
      <x:c r="I481" s="20"/>
    </x:row>
    <x:row r="482">
      <x:c r="E482" s="20"/>
      <x:c r="F482" s="20"/>
      <x:c r="G482" s="20"/>
      <x:c r="H482" s="20"/>
      <x:c r="I482" s="20"/>
    </x:row>
    <x:row r="483">
      <x:c r="E483" s="20"/>
      <x:c r="F483" s="20"/>
      <x:c r="G483" s="20"/>
      <x:c r="H483" s="20"/>
      <x:c r="I483" s="20"/>
    </x:row>
    <x:row r="484">
      <x:c r="E484" s="20"/>
      <x:c r="F484" s="20"/>
      <x:c r="G484" s="20"/>
      <x:c r="H484" s="20"/>
      <x:c r="I484" s="20"/>
    </x:row>
    <x:row r="485">
      <x:c r="E485" s="20"/>
      <x:c r="F485" s="20"/>
      <x:c r="G485" s="20"/>
      <x:c r="H485" s="20"/>
      <x:c r="I485" s="20"/>
    </x:row>
    <x:row r="486">
      <x:c r="E486" s="20"/>
      <x:c r="F486" s="20"/>
      <x:c r="G486" s="20"/>
      <x:c r="H486" s="20"/>
      <x:c r="I486" s="20"/>
    </x:row>
    <x:row r="487">
      <x:c r="E487" s="20"/>
      <x:c r="F487" s="20"/>
      <x:c r="G487" s="20"/>
      <x:c r="H487" s="20"/>
      <x:c r="I487" s="20"/>
    </x:row>
    <x:row r="488">
      <x:c r="E488" s="20"/>
      <x:c r="F488" s="20"/>
      <x:c r="G488" s="20"/>
      <x:c r="H488" s="20"/>
      <x:c r="I488" s="20"/>
    </x:row>
    <x:row r="489">
      <x:c r="E489" s="20"/>
      <x:c r="F489" s="20"/>
      <x:c r="G489" s="20"/>
      <x:c r="H489" s="20"/>
      <x:c r="I489" s="20"/>
    </x:row>
    <x:row r="490">
      <x:c r="E490" s="20"/>
      <x:c r="F490" s="20"/>
      <x:c r="G490" s="20"/>
      <x:c r="H490" s="20"/>
      <x:c r="I490" s="20"/>
    </x:row>
    <x:row r="491">
      <x:c r="E491" s="20"/>
      <x:c r="F491" s="20"/>
      <x:c r="G491" s="20"/>
      <x:c r="H491" s="20"/>
      <x:c r="I491" s="20"/>
    </x:row>
    <x:row r="492">
      <x:c r="E492" s="20"/>
      <x:c r="F492" s="20"/>
      <x:c r="G492" s="20"/>
      <x:c r="H492" s="20"/>
      <x:c r="I492" s="20"/>
    </x:row>
    <x:row r="493">
      <x:c r="E493" s="20"/>
      <x:c r="F493" s="20"/>
      <x:c r="G493" s="20"/>
      <x:c r="H493" s="20"/>
      <x:c r="I493" s="20"/>
    </x:row>
    <x:row r="494">
      <x:c r="E494" s="20"/>
      <x:c r="F494" s="20"/>
      <x:c r="G494" s="20"/>
      <x:c r="H494" s="20"/>
      <x:c r="I494" s="20"/>
    </x:row>
    <x:row r="495">
      <x:c r="E495" s="20"/>
      <x:c r="F495" s="20"/>
      <x:c r="G495" s="20"/>
      <x:c r="H495" s="20"/>
      <x:c r="I495" s="20"/>
    </x:row>
    <x:row r="496">
      <x:c r="E496" s="20"/>
      <x:c r="F496" s="20"/>
      <x:c r="G496" s="20"/>
      <x:c r="H496" s="20"/>
      <x:c r="I496" s="20"/>
    </x:row>
    <x:row r="497">
      <x:c r="E497" s="20"/>
      <x:c r="F497" s="20"/>
      <x:c r="G497" s="20"/>
      <x:c r="H497" s="20"/>
      <x:c r="I497" s="20"/>
    </x:row>
    <x:row r="498">
      <x:c r="E498" s="20"/>
      <x:c r="F498" s="20"/>
      <x:c r="G498" s="20"/>
      <x:c r="H498" s="20"/>
      <x:c r="I498" s="20"/>
    </x:row>
    <x:row r="499">
      <x:c r="E499" s="20"/>
      <x:c r="F499" s="20"/>
      <x:c r="G499" s="20"/>
      <x:c r="H499" s="20"/>
      <x:c r="I499" s="20"/>
    </x:row>
    <x:row r="500">
      <x:c r="E500" s="20"/>
      <x:c r="F500" s="20"/>
      <x:c r="G500" s="20"/>
      <x:c r="H500" s="20"/>
      <x:c r="I500" s="20"/>
    </x:row>
  </x:sheetData>
  <x:conditionalFormatting sqref="H2:H10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{1934E816-5EC1-98CE-E7EA-FE391FA8671F}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286262bce204c6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934E816-5EC1-98CE-E7EA-FE391FA8671F}">
            <x14:dataBar gradient="1">
              <x14:cfvo type="min"/>
              <x14:cfvo type="max"/>
              <x14:fillColor rgb="FFA02B93"/>
            </x14:dataBar>
          </x14:cfRule>
          <xm:sqref>H2:H109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95" hidden="0" customWidth="1"/>
  </x:cols>
  <x:sheetData>
    <x:row r="1">
      <x:c r="A1" s="4" t="str">
        <x:v>election_id</x:v>
      </x:c>
      <x:c r="B1" s="4" t="str">
        <x:v>status</x:v>
      </x:c>
      <x:c r="C1" s="4" t="str">
        <x:v>note</x:v>
      </x:c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DE_NW_2022</x:v>
      </x:c>
      <x:c r="B2" t="str">
        <x:v>complete</x:v>
      </x:c>
      <x:c r="C2" t="str">
        <x:v>6 Marktforschung/Wahlrecht/DAWUM polls plus Institut Wahlkreisprognose from DAWUM; Civey was already included.</x:v>
      </x:c>
    </x:row>
    <x:row r="3">
      <x:c r="A3" t="str">
        <x:v>DE_HB_2023</x:v>
      </x:c>
      <x:c r="B3" t="str">
        <x:v>complete</x:v>
      </x:c>
      <x:c r="C3" t="str">
        <x:v>3 Marktforschung.de institutes plus Institut Wahlkreisprognose from DAWUM; no matching Civey pre-election poll found.</x:v>
      </x:c>
    </x:row>
    <x:row r="4">
      <x:c r="A4" t="str">
        <x:v>DE_MV_2021</x:v>
      </x:c>
      <x:c r="B4" t="str">
        <x:v>complete_replacement_source</x:v>
      </x:c>
      <x:c r="C4" t="str">
        <x:v>No matching Marktforschung.de article found; final pre-election polls reconstructed from Wahlrecht.de and supplemented with Civey + Institut Wahlkreisprognose from DAWUM.</x:v>
      </x:c>
    </x:row>
    <x:row r="5">
      <x:c r="A5" t="str">
        <x:v>DE_BE_2021</x:v>
      </x:c>
      <x:c r="B5" t="str">
        <x:v>complete_replacement_source</x:v>
      </x:c>
      <x:c r="C5" t="str">
        <x:v>No matching Marktforschung.de article found; final pre-election polls reconstructed from Wahlrecht.de and supplemented with Civey + Institut Wahlkreisprognose from DAWUM.</x:v>
      </x:c>
    </x:row>
  </x:sheetData>
  <x:pageMargins left="0.7" right="0.7" top="0.75" bottom="0.75" header="0.3" footer="0.3"/>
  <x:tableParts count="1">
    <x:tablePart xmlns:r="http://schemas.openxmlformats.org/officeDocument/2006/relationships" r:id="Rdc53bac038d04c1c"/>
  </x:tableParts>
</x:worksheet>
</file>