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b5596c8cc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d646e0eeb064b0e"/>
    <x:sheet xmlns:r="http://schemas.openxmlformats.org/officeDocument/2006/relationships" name="Elections" sheetId="2" r:id="R71dd04674c74488a"/>
    <x:sheet xmlns:r="http://schemas.openxmlformats.org/officeDocument/2006/relationships" name="Polls" sheetId="3" r:id="Rb605fcad64274dba"/>
    <x:sheet xmlns:r="http://schemas.openxmlformats.org/officeDocument/2006/relationships" name="Comparisons" sheetId="4" r:id="R313f5b549ff548b9"/>
    <x:sheet xmlns:r="http://schemas.openxmlformats.org/officeDocument/2006/relationships" name="Poll_Party" sheetId="5" r:id="R139a60b91da34b34"/>
    <x:sheet xmlns:r="http://schemas.openxmlformats.org/officeDocument/2006/relationships" name="Data_Quality" sheetId="6" r:id="R218deb2b3c524f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649986d714291" /><Relationship Type="http://schemas.openxmlformats.org/officeDocument/2006/relationships/theme" Target="/xl/theme/theme1.xml" Id="R580e0314c60e4aad" /><Relationship Type="http://schemas.openxmlformats.org/officeDocument/2006/relationships/sharedStrings" Target="/xl/sharedStrings.xml" Id="Rcc2d435a5ac94b71" /><Relationship Type="http://schemas.openxmlformats.org/officeDocument/2006/relationships/worksheet" Target="/xl/worksheets/sheet1.xml" Id="Rbd646e0eeb064b0e" /><Relationship Type="http://schemas.openxmlformats.org/officeDocument/2006/relationships/worksheet" Target="/xl/worksheets/sheet2.xml" Id="R71dd04674c74488a" /><Relationship Type="http://schemas.openxmlformats.org/officeDocument/2006/relationships/worksheet" Target="/xl/worksheets/sheet3.xml" Id="Rb605fcad64274dba" /><Relationship Type="http://schemas.openxmlformats.org/officeDocument/2006/relationships/worksheet" Target="/xl/worksheets/sheet4.xml" Id="R313f5b549ff548b9" /><Relationship Type="http://schemas.openxmlformats.org/officeDocument/2006/relationships/worksheet" Target="/xl/worksheets/sheet5.xml" Id="R139a60b91da34b34" /><Relationship Type="http://schemas.openxmlformats.org/officeDocument/2006/relationships/worksheet" Target="/xl/worksheets/sheet6.xml" Id="R218deb2b3c524f92" /></Relationships>
</file>

<file path=xl/tables/table1.xml><?xml version="1.0" encoding="utf-8"?>
<x:table xmlns:x="http://schemas.openxmlformats.org/spreadsheetml/2006/main" id="1" name="ElectionsTable" displayName="ElectionsTable" ref="A1:J18" headerRowCount="1" totalsRowCount="0" totalsRowShown="0">
  <x:tableColumns count="10">
    <x:tableColumn id="1" name="election_id"/>
    <x:tableColumn id="2" name="country"/>
    <x:tableColumn id="3" name="country_code"/>
    <x:tableColumn id="4" name="region"/>
    <x:tableColumn id="5" name="election_level"/>
    <x:tableColumn id="6" name="election_name"/>
    <x:tableColumn id="7" name="election_date"/>
    <x:tableColumn id="8" name="article_date"/>
    <x:tableColumn id="9" name="result_status"/>
    <x:tableColumn id="10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lsTable" displayName="PollsTable" ref="A1:J84" headerRowCount="1" totalsRowCount="0" totalsRowShown="0">
  <x:tableColumns count="10">
    <x:tableColumn id="1" name="poll_id"/>
    <x:tableColumn id="2" name="election_id"/>
    <x:tableColumn id="3" name="pollster"/>
    <x:tableColumn id="4" name="commissioner"/>
    <x:tableColumn id="5" name="method"/>
    <x:tableColumn id="6" name="fieldwork_start"/>
    <x:tableColumn id="7" name="fieldwork_end"/>
    <x:tableColumn id="8" name="sample_size"/>
    <x:tableColumn id="9" name="source_url"/>
    <x:tableColumn id="10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risonsTable" displayName="ComparisonsTable" ref="A1:K83" headerRowCount="1" totalsRowCount="0" totalsRowShown="0">
  <x:tableColumns count="11">
    <x:tableColumn id="1" name="comparison_id"/>
    <x:tableColumn id="2" name="poll_id"/>
    <x:tableColumn id="3" name="election_id"/>
    <x:tableColumn id="4" name="comparison_variant"/>
    <x:tableColumn id="5" name="aggregation_rule"/>
    <x:tableColumn id="6" name="source_reported_sse"/>
    <x:tableColumn id="7" name="computed_sse"/>
    <x:tableColumn id="8" name="mae"/>
    <x:tableColumn id="9" name="rmse"/>
    <x:tableColumn id="10" name="party_count"/>
    <x:tableColumn id="11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llPartyTable" displayName="PollPartyTable" ref="A1:I597" headerRowCount="1" totalsRowCount="0" totalsRowShown="0">
  <x:tableColumns count="9">
    <x:tableColumn id="1" name="comparison_id"/>
    <x:tableColumn id="2" name="poll_id"/>
    <x:tableColumn id="3" name="election_id"/>
    <x:tableColumn id="4" name="party_or_category"/>
    <x:tableColumn id="5" name="poll_share"/>
    <x:tableColumn id="6" name="actual_share"/>
    <x:tableColumn id="7" name="signed_error"/>
    <x:tableColumn id="8" name="absolute_error"/>
    <x:tableColumn id="9" name="squared_err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QualityTable" displayName="DataQualityTable" ref="A1:C18" headerRowCount="1" totalsRowCount="0" totalsRowShown="0">
  <x:tableColumns count="3">
    <x:tableColumn id="1" name="election_id"/>
    <x:tableColumn id="2" name="status"/>
    <x:tableColumn id="3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4fdf187f7141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1a3038756548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eec663df0f4b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94929d3ab74a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9d5a1ece9646e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>
      <x:c r="A1" s="26" t="str">
        <x:v>Election polling master dataset – Marktforschung.de batch 1</x:v>
      </x:c>
      <x:c r="B1" s="20" t="str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16" t="str">
        <x:v>Purpose</x:v>
      </x:c>
      <x:c r="B2" s="20" t="str">
        <x:v>Normalized basis for comparing final pre-election polls with election results across elections/countries.</x:v>
      </x:c>
    </x:row>
    <x:row r="3">
      <x:c r="A3" s="16" t="str">
        <x:v>Unit: Elections</x:v>
      </x:c>
      <x:c r="B3" s="20" t="str">
        <x:v>One row per election. Note: 16 article links contain 17 election datasets because the 'Superwahljahr' article covers Baden-Württemberg and Rheinland-Pfalz 2021.</x:v>
      </x:c>
    </x:row>
    <x:row r="4">
      <x:c r="A4" s="16" t="str">
        <x:v>Unit: Polls</x:v>
      </x:c>
      <x:c r="B4" s="20" t="str">
        <x:v>One row per survey/pollster observation.</x:v>
      </x:c>
    </x:row>
    <x:row r="5">
      <x:c r="A5" s="16" t="str">
        <x:v>Unit: Comparisons</x:v>
      </x:c>
      <x:c r="B5" s="20" t="str">
        <x:v>One row per poll comparison rule. This separates the survey itself from category aggregation choices.</x:v>
      </x:c>
    </x:row>
    <x:row r="6">
      <x:c r="A6" s="16" t="str">
        <x:v>Unit: Poll_Party</x:v>
      </x:c>
      <x:c r="B6" s="20" t="str">
        <x:v>One row per comparison × party/category. Error metrics are formula-driven.</x:v>
      </x:c>
    </x:row>
    <x:row r="7">
      <x:c r="A7" s="16" t="str">
        <x:v>Key metric</x:v>
      </x:c>
      <x:c r="B7" s="20" t="str">
        <x:v>MAE (mean absolute error) is recommended as the primary cross-election metric. SSE is retained because Marktforschung.de reports it.</x:v>
      </x:c>
    </x:row>
    <x:row r="8">
      <x:c r="A8" s="16" t="str">
        <x:v>Important caveat</x:v>
      </x:c>
      <x:c r="B8" s="20" t="str">
        <x:v>Some articles aggregate minor parties differently (e.g. Hamburg 2025, Hessen/Bayern 2023). Never compare source-reported SSE blindly without checking aggregation_rule and party_count.</x:v>
      </x:c>
    </x:row>
    <x:row r="9">
      <x:c r="A9" s="16" t="str">
        <x:v>Source policy</x:v>
      </x:c>
      <x:c r="B9" s="20" t="str">
        <x:v>Article URLs are stored as plain text in each relevant source column. Public poll archives were used only where the article page did not expose a readable raw table.</x:v>
      </x:c>
    </x:row>
    <x:row r="10">
      <x:c r="A10" s="16" t="str">
        <x:v>Completeness</x:v>
      </x:c>
      <x:c r="B10" s="20" t="str">
        <x:v>Saarland 2022 Civey raw party values remain missing in this first pass; this is explicitly flagged in Data_Quality.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22" hidden="0" customWidth="1"/>
    <x:col min="5" max="5" width="20" hidden="0" customWidth="1"/>
    <x:col min="6" max="6" width="38" hidden="0" customWidth="1"/>
    <x:col min="7" max="7" width="14" hidden="0" customWidth="1"/>
    <x:col min="8" max="8" width="14" hidden="0" customWidth="1"/>
    <x:col min="9" max="9" width="15" hidden="0" customWidth="1"/>
    <x:col min="10" max="10" width="62" hidden="0" customWidth="1"/>
  </x:cols>
  <x:sheetData>
    <x:row r="1">
      <x:c r="A1" s="5" t="str">
        <x:v>election_id</x:v>
      </x:c>
      <x:c r="B1" s="5" t="str">
        <x:v>country</x:v>
      </x:c>
      <x:c r="C1" s="5" t="str">
        <x:v>country_code</x:v>
      </x:c>
      <x:c r="D1" s="5" t="str">
        <x:v>region</x:v>
      </x:c>
      <x:c r="E1" s="5" t="str">
        <x:v>election_level</x:v>
      </x:c>
      <x:c r="F1" s="5" t="str">
        <x:v>election_name</x:v>
      </x:c>
      <x:c r="G1" s="5" t="str">
        <x:v>election_date</x:v>
      </x:c>
      <x:c r="H1" s="5" t="str">
        <x:v>article_date</x:v>
      </x:c>
      <x:c r="I1" s="5" t="str">
        <x:v>result_status</x:v>
      </x:c>
      <x:c r="J1" s="5" t="str">
        <x:v>source_url</x:v>
      </x:c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DE_RP_2026</x:v>
      </x:c>
      <x:c r="B2" t="str">
        <x:v>Germany</x:v>
      </x:c>
      <x:c r="C2" t="str">
        <x:v>DE</x:v>
      </x:c>
      <x:c r="D2" t="str">
        <x:v>Rheinland-Pfalz</x:v>
      </x:c>
      <x:c r="E2" t="str">
        <x:v>State</x:v>
      </x:c>
      <x:c r="F2" t="str">
        <x:v>Landtagswahl Rheinland-Pfalz 2026</x:v>
      </x:c>
      <x:c r="G2" s="22" t="n">
        <x:v>46103</x:v>
      </x:c>
      <x:c r="H2" s="22" t="n">
        <x:v>46104</x:v>
      </x:c>
      <x:c r="I2" t="str">
        <x:v>provisional</x:v>
      </x:c>
      <x:c r="J2" t="str">
        <x:v>https://www.marktforschung.de/marktforschung/a/erneutes-double-fuer-die-forschungsgruppe-wahlen/</x:v>
      </x:c>
    </x:row>
    <x:row r="3">
      <x:c r="A3" t="str">
        <x:v>DE_HH_2025</x:v>
      </x:c>
      <x:c r="B3" t="str">
        <x:v>Germany</x:v>
      </x:c>
      <x:c r="C3" t="str">
        <x:v>DE</x:v>
      </x:c>
      <x:c r="D3" t="str">
        <x:v>Hamburg</x:v>
      </x:c>
      <x:c r="E3" t="str">
        <x:v>State</x:v>
      </x:c>
      <x:c r="F3" t="str">
        <x:v>Bürgerschaftswahl Hamburg 2025</x:v>
      </x:c>
      <x:c r="G3" s="22" t="n">
        <x:v>45718</x:v>
      </x:c>
      <x:c r="H3" s="22" t="n">
        <x:v>45719</x:v>
      </x:c>
      <x:c r="I3" t="str">
        <x:v>provisional</x:v>
      </x:c>
      <x:c r="J3" t="str">
        <x:v>https://www.marktforschung.de/marktforschung/a/buergerschaftswahl-hamburg-nicht-immer-sieht-man-mit-dem-zweiten-besser/</x:v>
      </x:c>
    </x:row>
    <x:row r="4">
      <x:c r="A4" t="str">
        <x:v>DE_BB_2024</x:v>
      </x:c>
      <x:c r="B4" t="str">
        <x:v>Germany</x:v>
      </x:c>
      <x:c r="C4" t="str">
        <x:v>DE</x:v>
      </x:c>
      <x:c r="D4" t="str">
        <x:v>Brandenburg</x:v>
      </x:c>
      <x:c r="E4" t="str">
        <x:v>State</x:v>
      </x:c>
      <x:c r="F4" t="str">
        <x:v>Landtagswahl Brandenburg 2024</x:v>
      </x:c>
      <x:c r="G4" s="22" t="n">
        <x:v>45557</x:v>
      </x:c>
      <x:c r="H4" s="22" t="n">
        <x:v>45560</x:v>
      </x:c>
      <x:c r="I4" t="str">
        <x:v>provisional</x:v>
      </x:c>
      <x:c r="J4" t="str">
        <x:v>https://www.marktforschung.de/marktforschung/a/eine-dynamik-in-brandenburg-die-nicht-mehr-erfasst-wurde/</x:v>
      </x:c>
    </x:row>
    <x:row r="5">
      <x:c r="A5" t="str">
        <x:v>DE_TH_2024</x:v>
      </x:c>
      <x:c r="B5" t="str">
        <x:v>Germany</x:v>
      </x:c>
      <x:c r="C5" t="str">
        <x:v>DE</x:v>
      </x:c>
      <x:c r="D5" t="str">
        <x:v>Thüringen</x:v>
      </x:c>
      <x:c r="E5" t="str">
        <x:v>State</x:v>
      </x:c>
      <x:c r="F5" t="str">
        <x:v>Landtagswahl Thüringen 2024</x:v>
      </x:c>
      <x:c r="G5" s="22" t="n">
        <x:v>45536</x:v>
      </x:c>
      <x:c r="H5" s="22"/>
      <x:c r="I5" t="str">
        <x:v>provisional</x:v>
      </x:c>
      <x:c r="J5" t="str">
        <x:v>https://www.marktforschung.de/marktforschung/a/thueringen-ein-schwierigeres-pflaster-fuer-meinungsforscher/</x:v>
      </x:c>
    </x:row>
    <x:row r="6">
      <x:c r="A6" t="str">
        <x:v>DE_SN_2024</x:v>
      </x:c>
      <x:c r="B6" t="str">
        <x:v>Germany</x:v>
      </x:c>
      <x:c r="C6" t="str">
        <x:v>DE</x:v>
      </x:c>
      <x:c r="D6" t="str">
        <x:v>Sachsen</x:v>
      </x:c>
      <x:c r="E6" t="str">
        <x:v>State</x:v>
      </x:c>
      <x:c r="F6" t="str">
        <x:v>Landtagswahl Sachsen 2024</x:v>
      </x:c>
      <x:c r="G6" s="22" t="n">
        <x:v>45536</x:v>
      </x:c>
      <x:c r="H6" s="22"/>
      <x:c r="I6" t="str">
        <x:v>provisional</x:v>
      </x:c>
      <x:c r="J6" t="str">
        <x:v>https://www.marktforschung.de/marktforschung/a/forschungsgruppe-wahlen-holt-das-double-in-sachsen/</x:v>
      </x:c>
    </x:row>
    <x:row r="7">
      <x:c r="A7" t="str">
        <x:v>DE_EP_2024</x:v>
      </x:c>
      <x:c r="B7" t="str">
        <x:v>Germany</x:v>
      </x:c>
      <x:c r="C7" t="str">
        <x:v>DE</x:v>
      </x:c>
      <x:c r="D7" t="str">
        <x:v>Germany</x:v>
      </x:c>
      <x:c r="E7" t="str">
        <x:v>European Parliament</x:v>
      </x:c>
      <x:c r="F7" t="str">
        <x:v>Europawahl Deutschland 2024</x:v>
      </x:c>
      <x:c r="G7" s="22" t="n">
        <x:v>45452</x:v>
      </x:c>
      <x:c r="H7" s="22"/>
      <x:c r="I7" t="str">
        <x:v>provisional</x:v>
      </x:c>
      <x:c r="J7" t="str">
        <x:v>https://www.marktforschung.de/marktforschung/a/hervorragende-exit-polls-bei-der-europawahl/</x:v>
      </x:c>
    </x:row>
    <x:row r="8">
      <x:c r="A8" t="str">
        <x:v>DE_HE_2023</x:v>
      </x:c>
      <x:c r="B8" t="str">
        <x:v>Germany</x:v>
      </x:c>
      <x:c r="C8" t="str">
        <x:v>DE</x:v>
      </x:c>
      <x:c r="D8" t="str">
        <x:v>Hessen</x:v>
      </x:c>
      <x:c r="E8" t="str">
        <x:v>State</x:v>
      </x:c>
      <x:c r="F8" t="str">
        <x:v>Landtagswahl Hessen 2023</x:v>
      </x:c>
      <x:c r="G8" s="22" t="n">
        <x:v>45207</x:v>
      </x:c>
      <x:c r="H8" s="22"/>
      <x:c r="I8" t="str">
        <x:v>provisional</x:v>
      </x:c>
      <x:c r="J8" t="str">
        <x:v>https://www.marktforschung.de/marktforschung/a/demoskopen-unterschaetzen-cdu-und-afd-in-hessen/</x:v>
      </x:c>
    </x:row>
    <x:row r="9">
      <x:c r="A9" t="str">
        <x:v>DE_BY_2023</x:v>
      </x:c>
      <x:c r="B9" t="str">
        <x:v>Germany</x:v>
      </x:c>
      <x:c r="C9" t="str">
        <x:v>DE</x:v>
      </x:c>
      <x:c r="D9" t="str">
        <x:v>Bayern</x:v>
      </x:c>
      <x:c r="E9" t="str">
        <x:v>State</x:v>
      </x:c>
      <x:c r="F9" t="str">
        <x:v>Landtagswahl Bayern 2023</x:v>
      </x:c>
      <x:c r="G9" s="22" t="n">
        <x:v>45207</x:v>
      </x:c>
      <x:c r="H9" s="22"/>
      <x:c r="I9" t="str">
        <x:v>provisional</x:v>
      </x:c>
      <x:c r="J9" t="str">
        <x:v>https://www.marktforschung.de/marktforschung/a/phaenomene-die-es-so-wohl-nur-in-bayern-gibt/</x:v>
      </x:c>
    </x:row>
    <x:row r="10">
      <x:c r="A10" t="str">
        <x:v>DE_BE_2023</x:v>
      </x:c>
      <x:c r="B10" t="str">
        <x:v>Germany</x:v>
      </x:c>
      <x:c r="C10" t="str">
        <x:v>DE</x:v>
      </x:c>
      <x:c r="D10" t="str">
        <x:v>Berlin</x:v>
      </x:c>
      <x:c r="E10" t="str">
        <x:v>State</x:v>
      </x:c>
      <x:c r="F10" t="str">
        <x:v>Abgeordnetenhauswahl Berlin 2023</x:v>
      </x:c>
      <x:c r="G10" s="22" t="n">
        <x:v>44969</x:v>
      </x:c>
      <x:c r="H10" s="22"/>
      <x:c r="I10" t="str">
        <x:v>provisional</x:v>
      </x:c>
      <x:c r="J10" t="str">
        <x:v>https://www.marktforschung.de/marktforschung/a/vorwahlumfragen-berlin-zwei-institute-mit-dem-gleichen-ergebnis/</x:v>
      </x:c>
    </x:row>
    <x:row r="11">
      <x:c r="A11" t="str">
        <x:v>DE_NI_2022</x:v>
      </x:c>
      <x:c r="B11" t="str">
        <x:v>Germany</x:v>
      </x:c>
      <x:c r="C11" t="str">
        <x:v>DE</x:v>
      </x:c>
      <x:c r="D11" t="str">
        <x:v>Niedersachsen</x:v>
      </x:c>
      <x:c r="E11" t="str">
        <x:v>State</x:v>
      </x:c>
      <x:c r="F11" t="str">
        <x:v>Landtagswahl Niedersachsen 2022</x:v>
      </x:c>
      <x:c r="G11" s="22" t="n">
        <x:v>44843</x:v>
      </x:c>
      <x:c r="H11" s="22"/>
      <x:c r="I11" t="str">
        <x:v>provisional</x:v>
      </x:c>
      <x:c r="J11" t="str">
        <x:v>https://www.marktforschung.de/marktforschung/a/hervorragende-vorwahlumfragen-in-niedersachsen-mit-einem-wermutstropfen/</x:v>
      </x:c>
    </x:row>
    <x:row r="12">
      <x:c r="A12" t="str">
        <x:v>DE_SH_2022</x:v>
      </x:c>
      <x:c r="B12" t="str">
        <x:v>Germany</x:v>
      </x:c>
      <x:c r="C12" t="str">
        <x:v>DE</x:v>
      </x:c>
      <x:c r="D12" t="str">
        <x:v>Schleswig-Holstein</x:v>
      </x:c>
      <x:c r="E12" t="str">
        <x:v>State</x:v>
      </x:c>
      <x:c r="F12" t="str">
        <x:v>Landtagswahl Schleswig-Holstein 2022</x:v>
      </x:c>
      <x:c r="G12" s="22" t="n">
        <x:v>44689</x:v>
      </x:c>
      <x:c r="H12" s="22"/>
      <x:c r="I12" t="str">
        <x:v>provisional</x:v>
      </x:c>
      <x:c r="J12" t="str">
        <x:v>https://www.marktforschung.de/marktforschung/a/die-dynamik-der-cdu-in-schleswig-holstein-wie-haben-die-demoskopen-abgeschnitten/</x:v>
      </x:c>
    </x:row>
    <x:row r="13">
      <x:c r="A13" t="str">
        <x:v>DE_SL_2022</x:v>
      </x:c>
      <x:c r="B13" t="str">
        <x:v>Germany</x:v>
      </x:c>
      <x:c r="C13" t="str">
        <x:v>DE</x:v>
      </x:c>
      <x:c r="D13" t="str">
        <x:v>Saarland</x:v>
      </x:c>
      <x:c r="E13" t="str">
        <x:v>State</x:v>
      </x:c>
      <x:c r="F13" t="str">
        <x:v>Landtagswahl Saarland 2022</x:v>
      </x:c>
      <x:c r="G13" s="22" t="n">
        <x:v>44647</x:v>
      </x:c>
      <x:c r="H13" s="22" t="n">
        <x:v>44649</x:v>
      </x:c>
      <x:c r="I13" t="str">
        <x:v>provisional</x:v>
      </x:c>
      <x:c r="J13" t="str">
        <x:v>https://www.marktforschung.de/marktforschung/a/saarland-die-erste-herausforderung-im-wahljahr-2022/</x:v>
      </x:c>
    </x:row>
    <x:row r="14">
      <x:c r="A14" t="str">
        <x:v>DE_BT_2021</x:v>
      </x:c>
      <x:c r="B14" t="str">
        <x:v>Germany</x:v>
      </x:c>
      <x:c r="C14" t="str">
        <x:v>DE</x:v>
      </x:c>
      <x:c r="D14" t="str">
        <x:v>Germany</x:v>
      </x:c>
      <x:c r="E14" t="str">
        <x:v>National</x:v>
      </x:c>
      <x:c r="F14" t="str">
        <x:v>Bundestagswahl 2021</x:v>
      </x:c>
      <x:c r="G14" s="22" t="n">
        <x:v>44465</x:v>
      </x:c>
      <x:c r="H14" s="22" t="n">
        <x:v>44466</x:v>
      </x:c>
      <x:c r="I14" t="str">
        <x:v>provisional</x:v>
      </x:c>
      <x:c r="J14" t="str">
        <x:v>https://www.marktforschung.de/marktforschung/a/wahlsieger-btw-2021-die-demoskopie/</x:v>
      </x:c>
    </x:row>
    <x:row r="15">
      <x:c r="A15" t="str">
        <x:v>DE_ST_2021</x:v>
      </x:c>
      <x:c r="B15" t="str">
        <x:v>Germany</x:v>
      </x:c>
      <x:c r="C15" t="str">
        <x:v>DE</x:v>
      </x:c>
      <x:c r="D15" t="str">
        <x:v>Sachsen-Anhalt</x:v>
      </x:c>
      <x:c r="E15" t="str">
        <x:v>State</x:v>
      </x:c>
      <x:c r="F15" t="str">
        <x:v>Landtagswahl Sachsen-Anhalt 2021</x:v>
      </x:c>
      <x:c r="G15" s="22" t="n">
        <x:v>44353</x:v>
      </x:c>
      <x:c r="H15" s="22" t="n">
        <x:v>44355</x:v>
      </x:c>
      <x:c r="I15" t="str">
        <x:v>provisional</x:v>
      </x:c>
      <x:c r="J15" t="str">
        <x:v>https://www.marktforschung.de/marktforschung/a/wahlumfragen-sachsen-anhalt-viel-luft-nach-oben/</x:v>
      </x:c>
    </x:row>
    <x:row r="16">
      <x:c r="A16" t="str">
        <x:v>DE_BW_2021</x:v>
      </x:c>
      <x:c r="B16" t="str">
        <x:v>Germany</x:v>
      </x:c>
      <x:c r="C16" t="str">
        <x:v>DE</x:v>
      </x:c>
      <x:c r="D16" t="str">
        <x:v>Baden-Württemberg</x:v>
      </x:c>
      <x:c r="E16" t="str">
        <x:v>State</x:v>
      </x:c>
      <x:c r="F16" t="str">
        <x:v>Landtagswahl Baden-Württemberg 2021</x:v>
      </x:c>
      <x:c r="G16" s="22" t="n">
        <x:v>44269</x:v>
      </x:c>
      <x:c r="H16" s="22"/>
      <x:c r="I16" t="str">
        <x:v>provisional</x:v>
      </x:c>
      <x:c r="J16" t="str">
        <x:v>https://www.marktforschung.de/marktforschung/a/warmlaufen-fuers-superwahljahr-die-forschungsgruppe-wahlen-mit-dem-besten-start/</x:v>
      </x:c>
    </x:row>
    <x:row r="17">
      <x:c r="A17" t="str">
        <x:v>DE_RP_2021</x:v>
      </x:c>
      <x:c r="B17" t="str">
        <x:v>Germany</x:v>
      </x:c>
      <x:c r="C17" t="str">
        <x:v>DE</x:v>
      </x:c>
      <x:c r="D17" t="str">
        <x:v>Rheinland-Pfalz</x:v>
      </x:c>
      <x:c r="E17" t="str">
        <x:v>State</x:v>
      </x:c>
      <x:c r="F17" t="str">
        <x:v>Landtagswahl Rheinland-Pfalz 2021</x:v>
      </x:c>
      <x:c r="G17" s="22" t="n">
        <x:v>44269</x:v>
      </x:c>
      <x:c r="H17" s="22"/>
      <x:c r="I17" t="str">
        <x:v>provisional</x:v>
      </x:c>
      <x:c r="J17" t="str">
        <x:v>https://www.marktforschung.de/marktforschung/a/warmlaufen-fuers-superwahljahr-die-forschungsgruppe-wahlen-mit-dem-besten-start/</x:v>
      </x:c>
    </x:row>
    <x:row r="18">
      <x:c r="A18" t="str">
        <x:v>DE_HH_2020</x:v>
      </x:c>
      <x:c r="B18" t="str">
        <x:v>Germany</x:v>
      </x:c>
      <x:c r="C18" t="str">
        <x:v>DE</x:v>
      </x:c>
      <x:c r="D18" t="str">
        <x:v>Hamburg</x:v>
      </x:c>
      <x:c r="E18" t="str">
        <x:v>State</x:v>
      </x:c>
      <x:c r="F18" t="str">
        <x:v>Bürgerschaftswahl Hamburg 2020</x:v>
      </x:c>
      <x:c r="G18" s="22" t="n">
        <x:v>43884</x:v>
      </x:c>
      <x:c r="H18" s="22"/>
      <x:c r="I18" t="str">
        <x:v>provisional</x:v>
      </x:c>
      <x:c r="J18" t="str">
        <x:v>https://www.marktforschung.de/marktforschung/a/buergerschaftswahl-in-hamburg-so-verlief-das-rennen-der-meinungsforscher/</x:v>
      </x:c>
    </x:row>
    <x:row r="19">
      <x:c r="G19" s="22"/>
      <x:c r="H19" s="22"/>
    </x:row>
    <x:row r="20">
      <x:c r="G20" s="22"/>
      <x:c r="H20" s="22"/>
    </x:row>
    <x:row r="21">
      <x:c r="G21" s="22"/>
      <x:c r="H21" s="22"/>
    </x:row>
    <x:row r="22">
      <x:c r="G22" s="22"/>
      <x:c r="H22" s="22"/>
    </x:row>
    <x:row r="23">
      <x:c r="G23" s="22"/>
      <x:c r="H23" s="22"/>
    </x:row>
    <x:row r="24">
      <x:c r="G24" s="22"/>
      <x:c r="H24" s="22"/>
    </x:row>
    <x:row r="25">
      <x:c r="G25" s="22"/>
      <x:c r="H25" s="22"/>
    </x:row>
    <x:row r="26">
      <x:c r="G26" s="22"/>
      <x:c r="H26" s="22"/>
    </x:row>
    <x:row r="27">
      <x:c r="G27" s="22"/>
      <x:c r="H27" s="22"/>
    </x:row>
    <x:row r="28">
      <x:c r="G28" s="22"/>
      <x:c r="H28" s="22"/>
    </x:row>
    <x:row r="29">
      <x:c r="G29" s="22"/>
      <x:c r="H29" s="22"/>
    </x:row>
    <x:row r="30">
      <x:c r="G30" s="22"/>
      <x:c r="H30" s="22"/>
    </x:row>
    <x:row r="31">
      <x:c r="G31" s="22"/>
      <x:c r="H31" s="22"/>
    </x:row>
    <x:row r="32">
      <x:c r="G32" s="22"/>
      <x:c r="H32" s="22"/>
    </x:row>
    <x:row r="33">
      <x:c r="G33" s="22"/>
      <x:c r="H33" s="22"/>
    </x:row>
    <x:row r="34">
      <x:c r="G34" s="22"/>
      <x:c r="H34" s="22"/>
    </x:row>
    <x:row r="35">
      <x:c r="G35" s="22"/>
      <x:c r="H35" s="22"/>
    </x:row>
    <x:row r="36">
      <x:c r="G36" s="22"/>
      <x:c r="H36" s="22"/>
    </x:row>
    <x:row r="37">
      <x:c r="G37" s="22"/>
      <x:c r="H37" s="22"/>
    </x:row>
    <x:row r="38">
      <x:c r="G38" s="22"/>
      <x:c r="H38" s="22"/>
    </x:row>
    <x:row r="39">
      <x:c r="G39" s="22"/>
      <x:c r="H39" s="22"/>
    </x:row>
    <x:row r="40">
      <x:c r="G40" s="22"/>
      <x:c r="H40" s="22"/>
    </x:row>
    <x:row r="41">
      <x:c r="G41" s="22"/>
      <x:c r="H41" s="22"/>
    </x:row>
    <x:row r="42">
      <x:c r="G42" s="22"/>
      <x:c r="H42" s="22"/>
    </x:row>
    <x:row r="43">
      <x:c r="G43" s="22"/>
      <x:c r="H43" s="22"/>
    </x:row>
    <x:row r="44">
      <x:c r="G44" s="22"/>
      <x:c r="H44" s="22"/>
    </x:row>
    <x:row r="45">
      <x:c r="G45" s="22"/>
      <x:c r="H45" s="22"/>
    </x:row>
    <x:row r="46">
      <x:c r="G46" s="22"/>
      <x:c r="H46" s="22"/>
    </x:row>
    <x:row r="47">
      <x:c r="G47" s="22"/>
      <x:c r="H47" s="22"/>
    </x:row>
    <x:row r="48">
      <x:c r="G48" s="22"/>
      <x:c r="H48" s="22"/>
    </x:row>
    <x:row r="49">
      <x:c r="G49" s="22"/>
      <x:c r="H49" s="22"/>
    </x:row>
    <x:row r="50">
      <x:c r="G50" s="22"/>
      <x:c r="H50" s="22"/>
    </x:row>
    <x:row r="51">
      <x:c r="G51" s="22"/>
      <x:c r="H51" s="22"/>
    </x:row>
    <x:row r="52">
      <x:c r="G52" s="22"/>
      <x:c r="H52" s="22"/>
    </x:row>
    <x:row r="53">
      <x:c r="G53" s="22"/>
      <x:c r="H53" s="22"/>
    </x:row>
    <x:row r="54">
      <x:c r="G54" s="22"/>
      <x:c r="H54" s="22"/>
    </x:row>
    <x:row r="55">
      <x:c r="G55" s="22"/>
      <x:c r="H55" s="22"/>
    </x:row>
    <x:row r="56">
      <x:c r="G56" s="22"/>
      <x:c r="H56" s="22"/>
    </x:row>
    <x:row r="57">
      <x:c r="G57" s="22"/>
      <x:c r="H57" s="22"/>
    </x:row>
    <x:row r="58">
      <x:c r="G58" s="22"/>
      <x:c r="H58" s="22"/>
    </x:row>
    <x:row r="59">
      <x:c r="G59" s="22"/>
      <x:c r="H59" s="22"/>
    </x:row>
    <x:row r="60">
      <x:c r="G60" s="22"/>
      <x:c r="H60" s="22"/>
    </x:row>
    <x:row r="61">
      <x:c r="G61" s="22"/>
      <x:c r="H61" s="22"/>
    </x:row>
    <x:row r="62">
      <x:c r="G62" s="22"/>
      <x:c r="H62" s="22"/>
    </x:row>
    <x:row r="63">
      <x:c r="G63" s="22"/>
      <x:c r="H63" s="22"/>
    </x:row>
    <x:row r="64">
      <x:c r="G64" s="22"/>
      <x:c r="H64" s="22"/>
    </x:row>
    <x:row r="65">
      <x:c r="G65" s="22"/>
      <x:c r="H65" s="22"/>
    </x:row>
    <x:row r="66">
      <x:c r="G66" s="22"/>
      <x:c r="H66" s="22"/>
    </x:row>
    <x:row r="67">
      <x:c r="G67" s="22"/>
      <x:c r="H67" s="22"/>
    </x:row>
    <x:row r="68">
      <x:c r="G68" s="22"/>
      <x:c r="H68" s="22"/>
    </x:row>
    <x:row r="69">
      <x:c r="G69" s="22"/>
      <x:c r="H69" s="22"/>
    </x:row>
    <x:row r="70">
      <x:c r="G70" s="22"/>
      <x:c r="H70" s="22"/>
    </x:row>
    <x:row r="71">
      <x:c r="G71" s="22"/>
      <x:c r="H71" s="22"/>
    </x:row>
    <x:row r="72">
      <x:c r="G72" s="22"/>
      <x:c r="H72" s="22"/>
    </x:row>
    <x:row r="73">
      <x:c r="G73" s="22"/>
      <x:c r="H73" s="22"/>
    </x:row>
    <x:row r="74">
      <x:c r="G74" s="22"/>
      <x:c r="H74" s="22"/>
    </x:row>
    <x:row r="75">
      <x:c r="G75" s="22"/>
      <x:c r="H75" s="22"/>
    </x:row>
    <x:row r="76">
      <x:c r="G76" s="22"/>
      <x:c r="H76" s="22"/>
    </x:row>
    <x:row r="77">
      <x:c r="G77" s="22"/>
      <x:c r="H77" s="22"/>
    </x:row>
    <x:row r="78">
      <x:c r="G78" s="22"/>
      <x:c r="H78" s="22"/>
    </x:row>
    <x:row r="79">
      <x:c r="G79" s="22"/>
      <x:c r="H79" s="22"/>
    </x:row>
    <x:row r="80">
      <x:c r="G80" s="22"/>
      <x:c r="H80" s="22"/>
    </x:row>
    <x:row r="81">
      <x:c r="G81" s="22"/>
      <x:c r="H81" s="22"/>
    </x:row>
    <x:row r="82">
      <x:c r="G82" s="22"/>
      <x:c r="H82" s="22"/>
    </x:row>
    <x:row r="83">
      <x:c r="G83" s="22"/>
      <x:c r="H83" s="22"/>
    </x:row>
    <x:row r="84">
      <x:c r="G84" s="22"/>
      <x:c r="H84" s="22"/>
    </x:row>
    <x:row r="85">
      <x:c r="G85" s="22"/>
      <x:c r="H85" s="22"/>
    </x:row>
    <x:row r="86">
      <x:c r="G86" s="22"/>
      <x:c r="H86" s="22"/>
    </x:row>
    <x:row r="87">
      <x:c r="G87" s="22"/>
      <x:c r="H87" s="22"/>
    </x:row>
    <x:row r="88">
      <x:c r="G88" s="22"/>
      <x:c r="H88" s="22"/>
    </x:row>
    <x:row r="89">
      <x:c r="G89" s="22"/>
      <x:c r="H89" s="22"/>
    </x:row>
    <x:row r="90">
      <x:c r="G90" s="22"/>
      <x:c r="H90" s="22"/>
    </x:row>
    <x:row r="91">
      <x:c r="G91" s="22"/>
      <x:c r="H91" s="22"/>
    </x:row>
    <x:row r="92">
      <x:c r="G92" s="22"/>
      <x:c r="H92" s="22"/>
    </x:row>
    <x:row r="93">
      <x:c r="G93" s="22"/>
      <x:c r="H93" s="22"/>
    </x:row>
    <x:row r="94">
      <x:c r="G94" s="22"/>
      <x:c r="H94" s="22"/>
    </x:row>
    <x:row r="95">
      <x:c r="G95" s="22"/>
      <x:c r="H95" s="22"/>
    </x:row>
    <x:row r="96">
      <x:c r="G96" s="22"/>
      <x:c r="H96" s="22"/>
    </x:row>
    <x:row r="97">
      <x:c r="G97" s="22"/>
      <x:c r="H97" s="22"/>
    </x:row>
    <x:row r="98">
      <x:c r="G98" s="22"/>
      <x:c r="H98" s="22"/>
    </x:row>
    <x:row r="99">
      <x:c r="G99" s="22"/>
      <x:c r="H99" s="22"/>
    </x:row>
    <x:row r="100">
      <x:c r="G100" s="22"/>
      <x:c r="H100" s="22"/>
    </x:row>
    <x:row r="101">
      <x:c r="G101" s="22"/>
      <x:c r="H101" s="22"/>
    </x:row>
    <x:row r="102">
      <x:c r="G102" s="22"/>
      <x:c r="H102" s="22"/>
    </x:row>
    <x:row r="103">
      <x:c r="G103" s="22"/>
      <x:c r="H103" s="22"/>
    </x:row>
    <x:row r="104">
      <x:c r="G104" s="22"/>
      <x:c r="H104" s="22"/>
    </x:row>
    <x:row r="105">
      <x:c r="G105" s="22"/>
      <x:c r="H105" s="22"/>
    </x:row>
    <x:row r="106">
      <x:c r="G106" s="22"/>
      <x:c r="H106" s="22"/>
    </x:row>
    <x:row r="107">
      <x:c r="G107" s="22"/>
      <x:c r="H107" s="22"/>
    </x:row>
    <x:row r="108">
      <x:c r="G108" s="22"/>
      <x:c r="H108" s="22"/>
    </x:row>
    <x:row r="109">
      <x:c r="G109" s="22"/>
      <x:c r="H109" s="22"/>
    </x:row>
    <x:row r="110">
      <x:c r="G110" s="22"/>
      <x:c r="H110" s="22"/>
    </x:row>
    <x:row r="111">
      <x:c r="G111" s="22"/>
      <x:c r="H111" s="22"/>
    </x:row>
    <x:row r="112">
      <x:c r="G112" s="22"/>
      <x:c r="H112" s="22"/>
    </x:row>
    <x:row r="113">
      <x:c r="G113" s="22"/>
      <x:c r="H113" s="22"/>
    </x:row>
    <x:row r="114">
      <x:c r="G114" s="22"/>
      <x:c r="H114" s="22"/>
    </x:row>
    <x:row r="115">
      <x:c r="G115" s="22"/>
      <x:c r="H115" s="22"/>
    </x:row>
    <x:row r="116">
      <x:c r="G116" s="22"/>
      <x:c r="H116" s="22"/>
    </x:row>
    <x:row r="117">
      <x:c r="G117" s="22"/>
      <x:c r="H117" s="22"/>
    </x:row>
    <x:row r="118">
      <x:c r="G118" s="22"/>
      <x:c r="H118" s="22"/>
    </x:row>
    <x:row r="119">
      <x:c r="G119" s="22"/>
      <x:c r="H119" s="22"/>
    </x:row>
    <x:row r="120">
      <x:c r="G120" s="22"/>
      <x:c r="H120" s="22"/>
    </x:row>
    <x:row r="121">
      <x:c r="G121" s="22"/>
      <x:c r="H121" s="22"/>
    </x:row>
    <x:row r="122">
      <x:c r="G122" s="22"/>
      <x:c r="H122" s="22"/>
    </x:row>
    <x:row r="123">
      <x:c r="G123" s="22"/>
      <x:c r="H123" s="22"/>
    </x:row>
    <x:row r="124">
      <x:c r="G124" s="22"/>
      <x:c r="H124" s="22"/>
    </x:row>
    <x:row r="125">
      <x:c r="G125" s="22"/>
      <x:c r="H125" s="22"/>
    </x:row>
    <x:row r="126">
      <x:c r="G126" s="22"/>
      <x:c r="H126" s="22"/>
    </x:row>
    <x:row r="127">
      <x:c r="G127" s="22"/>
      <x:c r="H127" s="22"/>
    </x:row>
    <x:row r="128">
      <x:c r="G128" s="22"/>
      <x:c r="H128" s="22"/>
    </x:row>
    <x:row r="129">
      <x:c r="G129" s="22"/>
      <x:c r="H129" s="22"/>
    </x:row>
    <x:row r="130">
      <x:c r="G130" s="22"/>
      <x:c r="H130" s="22"/>
    </x:row>
    <x:row r="131">
      <x:c r="G131" s="22"/>
      <x:c r="H131" s="22"/>
    </x:row>
    <x:row r="132">
      <x:c r="G132" s="22"/>
      <x:c r="H132" s="22"/>
    </x:row>
    <x:row r="133">
      <x:c r="G133" s="22"/>
      <x:c r="H133" s="22"/>
    </x:row>
    <x:row r="134">
      <x:c r="G134" s="22"/>
      <x:c r="H134" s="22"/>
    </x:row>
    <x:row r="135">
      <x:c r="G135" s="22"/>
      <x:c r="H135" s="22"/>
    </x:row>
    <x:row r="136">
      <x:c r="G136" s="22"/>
      <x:c r="H136" s="22"/>
    </x:row>
    <x:row r="137">
      <x:c r="G137" s="22"/>
      <x:c r="H137" s="22"/>
    </x:row>
    <x:row r="138">
      <x:c r="G138" s="22"/>
      <x:c r="H138" s="22"/>
    </x:row>
    <x:row r="139">
      <x:c r="G139" s="22"/>
      <x:c r="H139" s="22"/>
    </x:row>
    <x:row r="140">
      <x:c r="G140" s="22"/>
      <x:c r="H140" s="22"/>
    </x:row>
    <x:row r="141">
      <x:c r="G141" s="22"/>
      <x:c r="H141" s="22"/>
    </x:row>
    <x:row r="142">
      <x:c r="G142" s="22"/>
      <x:c r="H142" s="22"/>
    </x:row>
    <x:row r="143">
      <x:c r="G143" s="22"/>
      <x:c r="H143" s="22"/>
    </x:row>
    <x:row r="144">
      <x:c r="G144" s="22"/>
      <x:c r="H144" s="22"/>
    </x:row>
    <x:row r="145">
      <x:c r="G145" s="22"/>
      <x:c r="H145" s="22"/>
    </x:row>
    <x:row r="146">
      <x:c r="G146" s="22"/>
      <x:c r="H146" s="22"/>
    </x:row>
    <x:row r="147">
      <x:c r="G147" s="22"/>
      <x:c r="H147" s="22"/>
    </x:row>
    <x:row r="148">
      <x:c r="G148" s="22"/>
      <x:c r="H148" s="22"/>
    </x:row>
    <x:row r="149">
      <x:c r="G149" s="22"/>
      <x:c r="H149" s="22"/>
    </x:row>
    <x:row r="150">
      <x:c r="G150" s="22"/>
      <x:c r="H150" s="22"/>
    </x:row>
    <x:row r="151">
      <x:c r="G151" s="22"/>
      <x:c r="H151" s="22"/>
    </x:row>
    <x:row r="152">
      <x:c r="G152" s="22"/>
      <x:c r="H152" s="22"/>
    </x:row>
    <x:row r="153">
      <x:c r="G153" s="22"/>
      <x:c r="H153" s="22"/>
    </x:row>
    <x:row r="154">
      <x:c r="G154" s="22"/>
      <x:c r="H154" s="22"/>
    </x:row>
    <x:row r="155">
      <x:c r="G155" s="22"/>
      <x:c r="H155" s="22"/>
    </x:row>
    <x:row r="156">
      <x:c r="G156" s="22"/>
      <x:c r="H156" s="22"/>
    </x:row>
    <x:row r="157">
      <x:c r="G157" s="22"/>
      <x:c r="H157" s="22"/>
    </x:row>
    <x:row r="158">
      <x:c r="G158" s="22"/>
      <x:c r="H158" s="22"/>
    </x:row>
    <x:row r="159">
      <x:c r="G159" s="22"/>
      <x:c r="H159" s="22"/>
    </x:row>
    <x:row r="160">
      <x:c r="G160" s="22"/>
      <x:c r="H160" s="22"/>
    </x:row>
    <x:row r="161">
      <x:c r="G161" s="22"/>
      <x:c r="H161" s="22"/>
    </x:row>
    <x:row r="162">
      <x:c r="G162" s="22"/>
      <x:c r="H162" s="22"/>
    </x:row>
    <x:row r="163">
      <x:c r="G163" s="22"/>
      <x:c r="H163" s="22"/>
    </x:row>
    <x:row r="164">
      <x:c r="G164" s="22"/>
      <x:c r="H164" s="22"/>
    </x:row>
    <x:row r="165">
      <x:c r="G165" s="22"/>
      <x:c r="H165" s="22"/>
    </x:row>
    <x:row r="166">
      <x:c r="G166" s="22"/>
      <x:c r="H166" s="22"/>
    </x:row>
    <x:row r="167">
      <x:c r="G167" s="22"/>
      <x:c r="H167" s="22"/>
    </x:row>
    <x:row r="168">
      <x:c r="G168" s="22"/>
      <x:c r="H168" s="22"/>
    </x:row>
    <x:row r="169">
      <x:c r="G169" s="22"/>
      <x:c r="H169" s="22"/>
    </x:row>
    <x:row r="170">
      <x:c r="G170" s="22"/>
      <x:c r="H170" s="22"/>
    </x:row>
    <x:row r="171">
      <x:c r="G171" s="22"/>
      <x:c r="H171" s="22"/>
    </x:row>
    <x:row r="172">
      <x:c r="G172" s="22"/>
      <x:c r="H172" s="22"/>
    </x:row>
    <x:row r="173">
      <x:c r="G173" s="22"/>
      <x:c r="H173" s="22"/>
    </x:row>
    <x:row r="174">
      <x:c r="G174" s="22"/>
      <x:c r="H174" s="22"/>
    </x:row>
    <x:row r="175">
      <x:c r="G175" s="22"/>
      <x:c r="H175" s="22"/>
    </x:row>
    <x:row r="176">
      <x:c r="G176" s="22"/>
      <x:c r="H176" s="22"/>
    </x:row>
    <x:row r="177">
      <x:c r="G177" s="22"/>
      <x:c r="H177" s="22"/>
    </x:row>
    <x:row r="178">
      <x:c r="G178" s="22"/>
      <x:c r="H178" s="22"/>
    </x:row>
    <x:row r="179">
      <x:c r="G179" s="22"/>
      <x:c r="H179" s="22"/>
    </x:row>
    <x:row r="180">
      <x:c r="G180" s="22"/>
      <x:c r="H180" s="22"/>
    </x:row>
    <x:row r="181">
      <x:c r="G181" s="22"/>
      <x:c r="H181" s="22"/>
    </x:row>
    <x:row r="182">
      <x:c r="G182" s="22"/>
      <x:c r="H182" s="22"/>
    </x:row>
    <x:row r="183">
      <x:c r="G183" s="22"/>
      <x:c r="H183" s="22"/>
    </x:row>
    <x:row r="184">
      <x:c r="G184" s="22"/>
      <x:c r="H184" s="22"/>
    </x:row>
    <x:row r="185">
      <x:c r="G185" s="22"/>
      <x:c r="H185" s="22"/>
    </x:row>
    <x:row r="186">
      <x:c r="G186" s="22"/>
      <x:c r="H186" s="22"/>
    </x:row>
    <x:row r="187">
      <x:c r="G187" s="22"/>
      <x:c r="H187" s="22"/>
    </x:row>
    <x:row r="188">
      <x:c r="G188" s="22"/>
      <x:c r="H188" s="22"/>
    </x:row>
    <x:row r="189">
      <x:c r="G189" s="22"/>
      <x:c r="H189" s="22"/>
    </x:row>
    <x:row r="190">
      <x:c r="G190" s="22"/>
      <x:c r="H190" s="22"/>
    </x:row>
    <x:row r="191">
      <x:c r="G191" s="22"/>
      <x:c r="H191" s="22"/>
    </x:row>
    <x:row r="192">
      <x:c r="G192" s="22"/>
      <x:c r="H192" s="22"/>
    </x:row>
    <x:row r="193">
      <x:c r="G193" s="22"/>
      <x:c r="H193" s="22"/>
    </x:row>
    <x:row r="194">
      <x:c r="G194" s="22"/>
      <x:c r="H194" s="22"/>
    </x:row>
    <x:row r="195">
      <x:c r="G195" s="22"/>
      <x:c r="H195" s="22"/>
    </x:row>
    <x:row r="196">
      <x:c r="G196" s="22"/>
      <x:c r="H196" s="22"/>
    </x:row>
    <x:row r="197">
      <x:c r="G197" s="22"/>
      <x:c r="H197" s="22"/>
    </x:row>
    <x:row r="198">
      <x:c r="G198" s="22"/>
      <x:c r="H198" s="22"/>
    </x:row>
    <x:row r="199">
      <x:c r="G199" s="22"/>
      <x:c r="H199" s="22"/>
    </x:row>
    <x:row r="200">
      <x:c r="G200" s="22"/>
      <x:c r="H200" s="22"/>
    </x:row>
  </x:sheetData>
  <x:pageMargins left="0.7" right="0.7" top="0.75" bottom="0.75" header="0.3" footer="0.3"/>
  <x:tableParts count="1">
    <x:tablePart xmlns:r="http://schemas.openxmlformats.org/officeDocument/2006/relationships" r:id="R574fdf187f7141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62" hidden="0" customWidth="1"/>
    <x:col min="10" max="10" width="52" hidden="0" customWidth="1"/>
  </x:cols>
  <x:sheetData>
    <x:row r="1">
      <x:c r="A1" s="5" t="str">
        <x:v>poll_id</x:v>
      </x:c>
      <x:c r="B1" s="5" t="str">
        <x:v>election_id</x:v>
      </x:c>
      <x:c r="C1" s="5" t="str">
        <x:v>pollster</x:v>
      </x:c>
      <x:c r="D1" s="5" t="str">
        <x:v>commissioner</x:v>
      </x:c>
      <x:c r="E1" s="5" t="str">
        <x:v>method</x:v>
      </x:c>
      <x:c r="F1" s="5" t="str">
        <x:v>fieldwork_start</x:v>
      </x:c>
      <x:c r="G1" s="5" t="str">
        <x:v>fieldwork_end</x:v>
      </x:c>
      <x:c r="H1" s="5" t="str">
        <x:v>sample_size</x:v>
      </x:c>
      <x:c r="I1" s="5" t="str">
        <x:v>source_url</x:v>
      </x:c>
      <x:c r="J1" s="5" t="str">
        <x:v>note</x:v>
      </x:c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P001</x:v>
      </x:c>
      <x:c r="B2" t="str">
        <x:v>DE_RP_2026</x:v>
      </x:c>
      <x:c r="C2" t="str">
        <x:v>Forschungsgruppe Wahlen</x:v>
      </x:c>
      <x:c r="D2" t="str">
        <x:v>ZDF</x:v>
      </x:c>
      <x:c r="E2" t="str">
        <x:v>TSM</x:v>
      </x:c>
      <x:c r="F2" s="22" t="n">
        <x:v>46099</x:v>
      </x:c>
      <x:c r="G2" s="22" t="n">
        <x:v>46100</x:v>
      </x:c>
      <x:c r="H2" t="n">
        <x:v>1139</x:v>
      </x:c>
      <x:c r="I2" t="str">
        <x:v>https://www.marktforschung.de/marktforschung/a/erneutes-double-fuer-die-forschungsgruppe-wahlen/</x:v>
      </x:c>
      <x:c r="J2" t="str"/>
    </x:row>
    <x:row r="3">
      <x:c r="A3" t="str">
        <x:v>P002</x:v>
      </x:c>
      <x:c r="B3" t="str">
        <x:v>DE_RP_2026</x:v>
      </x:c>
      <x:c r="C3" t="str">
        <x:v>Infratest dimap</x:v>
      </x:c>
      <x:c r="D3" t="str">
        <x:v>ARD</x:v>
      </x:c>
      <x:c r="E3" t="str">
        <x:v>TOM</x:v>
      </x:c>
      <x:c r="F3" s="22" t="n">
        <x:v>46090</x:v>
      </x:c>
      <x:c r="G3" s="22" t="n">
        <x:v>46092</x:v>
      </x:c>
      <x:c r="H3" t="n">
        <x:v>1534</x:v>
      </x:c>
      <x:c r="I3" t="str">
        <x:v>https://www.marktforschung.de/marktforschung/a/erneutes-double-fuer-die-forschungsgruppe-wahlen/</x:v>
      </x:c>
      <x:c r="J3" t="str"/>
    </x:row>
    <x:row r="4">
      <x:c r="A4" t="str">
        <x:v>P003</x:v>
      </x:c>
      <x:c r="B4" t="str">
        <x:v>DE_RP_2026</x:v>
      </x:c>
      <x:c r="C4" t="str">
        <x:v>INSA</x:v>
      </x:c>
      <x:c r="D4" t="str">
        <x:v>BILD</x:v>
      </x:c>
      <x:c r="E4" t="str">
        <x:v>Online</x:v>
      </x:c>
      <x:c r="F4" s="22" t="n">
        <x:v>46091</x:v>
      </x:c>
      <x:c r="G4" s="22" t="n">
        <x:v>46098</x:v>
      </x:c>
      <x:c r="H4" t="n">
        <x:v>1000</x:v>
      </x:c>
      <x:c r="I4" t="str">
        <x:v>https://www.marktforschung.de/marktforschung/a/erneutes-double-fuer-die-forschungsgruppe-wahlen/</x:v>
      </x:c>
      <x:c r="J4" t="str"/>
    </x:row>
    <x:row r="5">
      <x:c r="A5" t="str">
        <x:v>P004</x:v>
      </x:c>
      <x:c r="B5" t="str">
        <x:v>DE_RP_2026</x:v>
      </x:c>
      <x:c r="C5" t="str">
        <x:v>Civey</x:v>
      </x:c>
      <x:c r="D5" t="str">
        <x:v>ProSiebenSat.1 / newstime</x:v>
      </x:c>
      <x:c r="E5" t="str">
        <x:v>Online</x:v>
      </x:c>
      <x:c r="F5" s="22" t="n">
        <x:v>46087</x:v>
      </x:c>
      <x:c r="G5" s="22" t="n">
        <x:v>46101</x:v>
      </x:c>
      <x:c r="H5" t="n">
        <x:v>2000</x:v>
      </x:c>
      <x:c r="I5" t="str">
        <x:v>https://www.marktforschung.de/marktforschung/a/erneutes-double-fuer-die-forschungsgruppe-wahlen/</x:v>
      </x:c>
      <x:c r="J5" t="str"/>
    </x:row>
    <x:row r="6">
      <x:c r="A6" t="str">
        <x:v>P005</x:v>
      </x:c>
      <x:c r="B6" t="str">
        <x:v>DE_HH_2025</x:v>
      </x:c>
      <x:c r="C6" t="str">
        <x:v>Forschungsgruppe Wahlen</x:v>
      </x:c>
      <x:c r="D6" t="str">
        <x:v>ZDF</x:v>
      </x:c>
      <x:c r="E6" t="str">
        <x:v>TSM</x:v>
      </x:c>
      <x:c r="F6" s="22" t="n">
        <x:v>45714</x:v>
      </x:c>
      <x:c r="G6" s="22" t="n">
        <x:v>45715</x:v>
      </x:c>
      <x:c r="H6" t="n">
        <x:v>1046</x:v>
      </x:c>
      <x:c r="I6" t="str">
        <x:v>https://www.marktforschung.de/marktforschung/a/buergerschaftswahl-hamburg-nicht-immer-sieht-man-mit-dem-zweiten-besser/</x:v>
      </x:c>
      <x:c r="J6" t="str"/>
    </x:row>
    <x:row r="7">
      <x:c r="A7" t="str">
        <x:v>P006</x:v>
      </x:c>
      <x:c r="B7" t="str">
        <x:v>DE_HH_2025</x:v>
      </x:c>
      <x:c r="C7" t="str">
        <x:v>INSA</x:v>
      </x:c>
      <x:c r="D7" t="str">
        <x:v>BILD</x:v>
      </x:c>
      <x:c r="E7" t="str">
        <x:v>Online</x:v>
      </x:c>
      <x:c r="F7" s="22" t="n">
        <x:v>45712</x:v>
      </x:c>
      <x:c r="G7" s="22" t="n">
        <x:v>45714</x:v>
      </x:c>
      <x:c r="H7" t="n">
        <x:v>1000</x:v>
      </x:c>
      <x:c r="I7" t="str">
        <x:v>https://www.marktforschung.de/marktforschung/a/buergerschaftswahl-hamburg-nicht-immer-sieht-man-mit-dem-zweiten-besser/</x:v>
      </x:c>
      <x:c r="J7" t="str"/>
    </x:row>
    <x:row r="8">
      <x:c r="A8" t="str">
        <x:v>P007</x:v>
      </x:c>
      <x:c r="B8" t="str">
        <x:v>DE_HH_2025</x:v>
      </x:c>
      <x:c r="C8" t="str">
        <x:v>Infratest dimap</x:v>
      </x:c>
      <x:c r="D8" t="str">
        <x:v>ARD</x:v>
      </x:c>
      <x:c r="E8" t="str">
        <x:v>TOM</x:v>
      </x:c>
      <x:c r="F8" s="22" t="n">
        <x:v>45705</x:v>
      </x:c>
      <x:c r="G8" s="22" t="n">
        <x:v>45707</x:v>
      </x:c>
      <x:c r="H8" t="n">
        <x:v>1308</x:v>
      </x:c>
      <x:c r="I8" t="str">
        <x:v>https://www.marktforschung.de/marktforschung/a/buergerschaftswahl-hamburg-nicht-immer-sieht-man-mit-dem-zweiten-besser/</x:v>
      </x:c>
      <x:c r="J8" t="str"/>
    </x:row>
    <x:row r="9">
      <x:c r="A9" t="str">
        <x:v>P008</x:v>
      </x:c>
      <x:c r="B9" t="str">
        <x:v>DE_HH_2025</x:v>
      </x:c>
      <x:c r="C9" t="str">
        <x:v>Civey</x:v>
      </x:c>
      <x:c r="D9" t="str">
        <x:v>Seven.One</x:v>
      </x:c>
      <x:c r="E9" t="str">
        <x:v>Online</x:v>
      </x:c>
      <x:c r="F9" s="22" t="n">
        <x:v>45701</x:v>
      </x:c>
      <x:c r="G9" s="22" t="n">
        <x:v>45715</x:v>
      </x:c>
      <x:c r="H9" t="n">
        <x:v>2000</x:v>
      </x:c>
      <x:c r="I9" t="str">
        <x:v>https://www.marktforschung.de/marktforschung/a/buergerschaftswahl-hamburg-nicht-immer-sieht-man-mit-dem-zweiten-besser/</x:v>
      </x:c>
      <x:c r="J9" t="str"/>
    </x:row>
    <x:row r="10">
      <x:c r="A10" t="str">
        <x:v>P009</x:v>
      </x:c>
      <x:c r="B10" t="str">
        <x:v>DE_HH_2025</x:v>
      </x:c>
      <x:c r="C10" t="str">
        <x:v>Trend Research Hamburg</x:v>
      </x:c>
      <x:c r="D10" t="str">
        <x:v>Radio Hamburg / ZEIT</x:v>
      </x:c>
      <x:c r="E10" t="str">
        <x:v>Online</x:v>
      </x:c>
      <x:c r="F10" s="22" t="n">
        <x:v>45673</x:v>
      </x:c>
      <x:c r="G10" s="22" t="n">
        <x:v>45677</x:v>
      </x:c>
      <x:c r="H10" t="n">
        <x:v>890</x:v>
      </x:c>
      <x:c r="I10" t="str">
        <x:v>https://www.marktforschung.de/marktforschung/a/buergerschaftswahl-hamburg-nicht-immer-sieht-man-mit-dem-zweiten-besser/</x:v>
      </x:c>
      <x:c r="J10" t="str"/>
    </x:row>
    <x:row r="11">
      <x:c r="A11" t="str">
        <x:v>P010</x:v>
      </x:c>
      <x:c r="B11" t="str">
        <x:v>DE_BB_2024</x:v>
      </x:c>
      <x:c r="C11" t="str">
        <x:v>Forschungsgruppe Wahlen</x:v>
      </x:c>
      <x:c r="D11" t="str"/>
      <x:c r="E11" t="str">
        <x:v>TSM</x:v>
      </x:c>
      <x:c r="F11" s="22" t="n">
        <x:v>45553</x:v>
      </x:c>
      <x:c r="G11" s="22" t="n">
        <x:v>45554</x:v>
      </x:c>
      <x:c r="H11" t="n">
        <x:v>1118</x:v>
      </x:c>
      <x:c r="I11" t="str">
        <x:v>https://www.marktforschung.de/marktforschung/a/eine-dynamik-in-brandenburg-die-nicht-mehr-erfasst-wurde/</x:v>
      </x:c>
      <x:c r="J11" t="str"/>
    </x:row>
    <x:row r="12">
      <x:c r="A12" t="str">
        <x:v>P011</x:v>
      </x:c>
      <x:c r="B12" t="str">
        <x:v>DE_BB_2024</x:v>
      </x:c>
      <x:c r="C12" t="str">
        <x:v>Civey</x:v>
      </x:c>
      <x:c r="D12" t="str"/>
      <x:c r="E12" t="str">
        <x:v>Online</x:v>
      </x:c>
      <x:c r="F12" s="22" t="n">
        <x:v>45540</x:v>
      </x:c>
      <x:c r="G12" s="22" t="n">
        <x:v>45554</x:v>
      </x:c>
      <x:c r="H12" t="n">
        <x:v>2502</x:v>
      </x:c>
      <x:c r="I12" t="str">
        <x:v>https://www.marktforschung.de/marktforschung/a/eine-dynamik-in-brandenburg-die-nicht-mehr-erfasst-wurde/</x:v>
      </x:c>
      <x:c r="J12" t="str"/>
    </x:row>
    <x:row r="13">
      <x:c r="A13" t="str">
        <x:v>P012</x:v>
      </x:c>
      <x:c r="B13" t="str">
        <x:v>DE_BB_2024</x:v>
      </x:c>
      <x:c r="C13" t="str">
        <x:v>Infratest dimap</x:v>
      </x:c>
      <x:c r="D13" t="str"/>
      <x:c r="E13" t="str">
        <x:v>TOM</x:v>
      </x:c>
      <x:c r="F13" s="22" t="n">
        <x:v>45544</x:v>
      </x:c>
      <x:c r="G13" s="22" t="n">
        <x:v>45546</x:v>
      </x:c>
      <x:c r="H13" t="n">
        <x:v>1513</x:v>
      </x:c>
      <x:c r="I13" t="str">
        <x:v>https://www.marktforschung.de/marktforschung/a/eine-dynamik-in-brandenburg-die-nicht-mehr-erfasst-wurde/</x:v>
      </x:c>
      <x:c r="J13" t="str"/>
    </x:row>
    <x:row r="14">
      <x:c r="A14" t="str">
        <x:v>P013</x:v>
      </x:c>
      <x:c r="B14" t="str">
        <x:v>DE_BB_2024</x:v>
      </x:c>
      <x:c r="C14" t="str">
        <x:v>INSA</x:v>
      </x:c>
      <x:c r="D14" t="str"/>
      <x:c r="E14" t="str">
        <x:v>Online</x:v>
      </x:c>
      <x:c r="F14" s="22" t="n">
        <x:v>45544</x:v>
      </x:c>
      <x:c r="G14" s="22" t="n">
        <x:v>45551</x:v>
      </x:c>
      <x:c r="H14" t="n">
        <x:v>1000</x:v>
      </x:c>
      <x:c r="I14" t="str">
        <x:v>https://www.marktforschung.de/marktforschung/a/eine-dynamik-in-brandenburg-die-nicht-mehr-erfasst-wurde/</x:v>
      </x:c>
      <x:c r="J14" t="str"/>
    </x:row>
    <x:row r="15">
      <x:c r="A15" t="str">
        <x:v>P014</x:v>
      </x:c>
      <x:c r="B15" t="str">
        <x:v>DE_TH_2024</x:v>
      </x:c>
      <x:c r="C15" t="str">
        <x:v>Infratest dimap</x:v>
      </x:c>
      <x:c r="D15" t="str"/>
      <x:c r="E15" t="str">
        <x:v>TOM</x:v>
      </x:c>
      <x:c r="F15" s="22" t="n">
        <x:v>45523</x:v>
      </x:c>
      <x:c r="G15" s="22" t="n">
        <x:v>45525</x:v>
      </x:c>
      <x:c r="H15" t="n">
        <x:v>1551</x:v>
      </x:c>
      <x:c r="I15" t="str">
        <x:v>https://www.marktforschung.de/marktforschung/a/thueringen-ein-schwierigeres-pflaster-fuer-meinungsforscher/</x:v>
      </x:c>
      <x:c r="J15" t="str"/>
    </x:row>
    <x:row r="16">
      <x:c r="A16" t="str">
        <x:v>P015</x:v>
      </x:c>
      <x:c r="B16" t="str">
        <x:v>DE_TH_2024</x:v>
      </x:c>
      <x:c r="C16" t="str">
        <x:v>Forsa</x:v>
      </x:c>
      <x:c r="D16" t="str"/>
      <x:c r="E16" t="str">
        <x:v>TOM</x:v>
      </x:c>
      <x:c r="F16" s="22" t="n">
        <x:v>45531</x:v>
      </x:c>
      <x:c r="G16" s="22" t="n">
        <x:v>45533</x:v>
      </x:c>
      <x:c r="H16" t="n">
        <x:v>1011</x:v>
      </x:c>
      <x:c r="I16" t="str">
        <x:v>https://www.marktforschung.de/marktforschung/a/thueringen-ein-schwierigeres-pflaster-fuer-meinungsforscher/</x:v>
      </x:c>
      <x:c r="J16" t="str"/>
    </x:row>
    <x:row r="17">
      <x:c r="A17" t="str">
        <x:v>P016</x:v>
      </x:c>
      <x:c r="B17" t="str">
        <x:v>DE_TH_2024</x:v>
      </x:c>
      <x:c r="C17" t="str">
        <x:v>Civey</x:v>
      </x:c>
      <x:c r="D17" t="str"/>
      <x:c r="E17" t="str">
        <x:v>Online</x:v>
      </x:c>
      <x:c r="F17" s="22" t="n">
        <x:v>45519</x:v>
      </x:c>
      <x:c r="G17" s="22" t="n">
        <x:v>45533</x:v>
      </x:c>
      <x:c r="H17" t="n">
        <x:v>2500</x:v>
      </x:c>
      <x:c r="I17" t="str">
        <x:v>https://www.marktforschung.de/marktforschung/a/thueringen-ein-schwierigeres-pflaster-fuer-meinungsforscher/</x:v>
      </x:c>
      <x:c r="J17" t="str"/>
    </x:row>
    <x:row r="18">
      <x:c r="A18" t="str">
        <x:v>P017</x:v>
      </x:c>
      <x:c r="B18" t="str">
        <x:v>DE_TH_2024</x:v>
      </x:c>
      <x:c r="C18" t="str">
        <x:v>Forschungsgruppe Wahlen</x:v>
      </x:c>
      <x:c r="D18" t="str"/>
      <x:c r="E18" t="str">
        <x:v>TSM</x:v>
      </x:c>
      <x:c r="F18" s="22" t="n">
        <x:v>45530</x:v>
      </x:c>
      <x:c r="G18" s="22" t="n">
        <x:v>45533</x:v>
      </x:c>
      <x:c r="H18" t="n">
        <x:v>1859</x:v>
      </x:c>
      <x:c r="I18" t="str">
        <x:v>https://www.marktforschung.de/marktforschung/a/thueringen-ein-schwierigeres-pflaster-fuer-meinungsforscher/</x:v>
      </x:c>
      <x:c r="J18" t="str"/>
    </x:row>
    <x:row r="19">
      <x:c r="A19" t="str">
        <x:v>P018</x:v>
      </x:c>
      <x:c r="B19" t="str">
        <x:v>DE_TH_2024</x:v>
      </x:c>
      <x:c r="C19" t="str">
        <x:v>INSA</x:v>
      </x:c>
      <x:c r="D19" t="str"/>
      <x:c r="E19" t="str">
        <x:v>TOM</x:v>
      </x:c>
      <x:c r="F19" s="22" t="n">
        <x:v>45523</x:v>
      </x:c>
      <x:c r="G19" s="22" t="n">
        <x:v>45527</x:v>
      </x:c>
      <x:c r="H19" t="n">
        <x:v>1000</x:v>
      </x:c>
      <x:c r="I19" t="str">
        <x:v>https://www.marktforschung.de/marktforschung/a/thueringen-ein-schwierigeres-pflaster-fuer-meinungsforscher/</x:v>
      </x:c>
      <x:c r="J19" t="str"/>
    </x:row>
    <x:row r="20">
      <x:c r="A20" t="str">
        <x:v>P019</x:v>
      </x:c>
      <x:c r="B20" t="str">
        <x:v>DE_SN_2024</x:v>
      </x:c>
      <x:c r="C20" t="str">
        <x:v>Forschungsgruppe Wahlen</x:v>
      </x:c>
      <x:c r="D20" t="str"/>
      <x:c r="E20" t="str">
        <x:v>TSM</x:v>
      </x:c>
      <x:c r="F20" s="22" t="n">
        <x:v>45530</x:v>
      </x:c>
      <x:c r="G20" s="22" t="n">
        <x:v>45533</x:v>
      </x:c>
      <x:c r="H20" t="n">
        <x:v>1973</x:v>
      </x:c>
      <x:c r="I20" t="str">
        <x:v>https://www.marktforschung.de/marktforschung/a/forschungsgruppe-wahlen-holt-das-double-in-sachsen/</x:v>
      </x:c>
      <x:c r="J20" t="str"/>
    </x:row>
    <x:row r="21">
      <x:c r="A21" t="str">
        <x:v>P020</x:v>
      </x:c>
      <x:c r="B21" t="str">
        <x:v>DE_SN_2024</x:v>
      </x:c>
      <x:c r="C21" t="str">
        <x:v>Civey</x:v>
      </x:c>
      <x:c r="D21" t="str"/>
      <x:c r="E21" t="str">
        <x:v>Online</x:v>
      </x:c>
      <x:c r="F21" s="22" t="n">
        <x:v>45519</x:v>
      </x:c>
      <x:c r="G21" s="22" t="n">
        <x:v>45533</x:v>
      </x:c>
      <x:c r="H21" t="n">
        <x:v>3000</x:v>
      </x:c>
      <x:c r="I21" t="str">
        <x:v>https://www.marktforschung.de/marktforschung/a/forschungsgruppe-wahlen-holt-das-double-in-sachsen/</x:v>
      </x:c>
      <x:c r="J21" t="str"/>
    </x:row>
    <x:row r="22">
      <x:c r="A22" t="str">
        <x:v>P021</x:v>
      </x:c>
      <x:c r="B22" t="str">
        <x:v>DE_SN_2024</x:v>
      </x:c>
      <x:c r="C22" t="str">
        <x:v>Forsa</x:v>
      </x:c>
      <x:c r="D22" t="str"/>
      <x:c r="E22" t="str">
        <x:v>TOM</x:v>
      </x:c>
      <x:c r="F22" s="22" t="n">
        <x:v>45531</x:v>
      </x:c>
      <x:c r="G22" s="22" t="n">
        <x:v>45533</x:v>
      </x:c>
      <x:c r="H22" t="n">
        <x:v>1041</x:v>
      </x:c>
      <x:c r="I22" t="str">
        <x:v>https://www.marktforschung.de/marktforschung/a/forschungsgruppe-wahlen-holt-das-double-in-sachsen/</x:v>
      </x:c>
      <x:c r="J22" t="str"/>
    </x:row>
    <x:row r="23">
      <x:c r="A23" t="str">
        <x:v>P022</x:v>
      </x:c>
      <x:c r="B23" t="str">
        <x:v>DE_SN_2024</x:v>
      </x:c>
      <x:c r="C23" t="str">
        <x:v>Infratest dimap</x:v>
      </x:c>
      <x:c r="D23" t="str"/>
      <x:c r="E23" t="str">
        <x:v>TOM</x:v>
      </x:c>
      <x:c r="F23" s="22" t="n">
        <x:v>45523</x:v>
      </x:c>
      <x:c r="G23" s="22" t="n">
        <x:v>45525</x:v>
      </x:c>
      <x:c r="H23" t="n">
        <x:v>1566</x:v>
      </x:c>
      <x:c r="I23" t="str">
        <x:v>https://www.marktforschung.de/marktforschung/a/forschungsgruppe-wahlen-holt-das-double-in-sachsen/</x:v>
      </x:c>
      <x:c r="J23" t="str"/>
    </x:row>
    <x:row r="24">
      <x:c r="A24" t="str">
        <x:v>P023</x:v>
      </x:c>
      <x:c r="B24" t="str">
        <x:v>DE_SN_2024</x:v>
      </x:c>
      <x:c r="C24" t="str">
        <x:v>INSA</x:v>
      </x:c>
      <x:c r="D24" t="str"/>
      <x:c r="E24" t="str">
        <x:v>Online</x:v>
      </x:c>
      <x:c r="F24" s="22" t="n">
        <x:v>45523</x:v>
      </x:c>
      <x:c r="G24" s="22" t="n">
        <x:v>45527</x:v>
      </x:c>
      <x:c r="H24" t="n">
        <x:v>1000</x:v>
      </x:c>
      <x:c r="I24" t="str">
        <x:v>https://www.marktforschung.de/marktforschung/a/forschungsgruppe-wahlen-holt-das-double-in-sachsen/</x:v>
      </x:c>
      <x:c r="J24" t="str"/>
    </x:row>
    <x:row r="25">
      <x:c r="A25" t="str">
        <x:v>P024</x:v>
      </x:c>
      <x:c r="B25" t="str">
        <x:v>DE_EP_2024</x:v>
      </x:c>
      <x:c r="C25" t="str">
        <x:v>INSA</x:v>
      </x:c>
      <x:c r="D25" t="str"/>
      <x:c r="E25" t="str">
        <x:v>Online</x:v>
      </x:c>
      <x:c r="F25" s="22" t="n">
        <x:v>45442</x:v>
      </x:c>
      <x:c r="G25" s="22" t="n">
        <x:v>45443</x:v>
      </x:c>
      <x:c r="H25" t="n">
        <x:v>1001</x:v>
      </x:c>
      <x:c r="I25" t="str">
        <x:v>https://www.marktforschung.de/marktforschung/a/hervorragende-exit-polls-bei-der-europawahl/</x:v>
      </x:c>
      <x:c r="J25" t="str"/>
    </x:row>
    <x:row r="26">
      <x:c r="A26" t="str">
        <x:v>P025</x:v>
      </x:c>
      <x:c r="B26" t="str">
        <x:v>DE_EP_2024</x:v>
      </x:c>
      <x:c r="C26" t="str">
        <x:v>Forschungsgruppe Wahlen</x:v>
      </x:c>
      <x:c r="D26" t="str"/>
      <x:c r="E26" t="str">
        <x:v>TSM</x:v>
      </x:c>
      <x:c r="F26" s="22" t="n">
        <x:v>45448</x:v>
      </x:c>
      <x:c r="G26" s="22" t="n">
        <x:v>45449</x:v>
      </x:c>
      <x:c r="H26" t="n">
        <x:v>1223</x:v>
      </x:c>
      <x:c r="I26" t="str">
        <x:v>https://www.marktforschung.de/marktforschung/a/hervorragende-exit-polls-bei-der-europawahl/</x:v>
      </x:c>
      <x:c r="J26" t="str"/>
    </x:row>
    <x:row r="27">
      <x:c r="A27" t="str">
        <x:v>P026</x:v>
      </x:c>
      <x:c r="B27" t="str">
        <x:v>DE_EP_2024</x:v>
      </x:c>
      <x:c r="C27" t="str">
        <x:v>Infratest dimap</x:v>
      </x:c>
      <x:c r="D27" t="str"/>
      <x:c r="E27" t="str">
        <x:v>TOM</x:v>
      </x:c>
      <x:c r="F27" s="22" t="n">
        <x:v>45439</x:v>
      </x:c>
      <x:c r="G27" s="22" t="n">
        <x:v>45441</x:v>
      </x:c>
      <x:c r="H27" t="n">
        <x:v>1515</x:v>
      </x:c>
      <x:c r="I27" t="str">
        <x:v>https://www.marktforschung.de/marktforschung/a/hervorragende-exit-polls-bei-der-europawahl/</x:v>
      </x:c>
      <x:c r="J27" t="str"/>
    </x:row>
    <x:row r="28">
      <x:c r="A28" t="str">
        <x:v>P027</x:v>
      </x:c>
      <x:c r="B28" t="str">
        <x:v>DE_EP_2024</x:v>
      </x:c>
      <x:c r="C28" t="str">
        <x:v>Civey</x:v>
      </x:c>
      <x:c r="D28" t="str"/>
      <x:c r="E28" t="str">
        <x:v>Online</x:v>
      </x:c>
      <x:c r="F28" s="22" t="n">
        <x:v>45441</x:v>
      </x:c>
      <x:c r="G28" s="22" t="n">
        <x:v>45448</x:v>
      </x:c>
      <x:c r="H28" t="n">
        <x:v>5008</x:v>
      </x:c>
      <x:c r="I28" t="str">
        <x:v>https://www.marktforschung.de/marktforschung/a/hervorragende-exit-polls-bei-der-europawahl/</x:v>
      </x:c>
      <x:c r="J28" t="str"/>
    </x:row>
    <x:row r="29">
      <x:c r="A29" t="str">
        <x:v>P028</x:v>
      </x:c>
      <x:c r="B29" t="str">
        <x:v>DE_EP_2024</x:v>
      </x:c>
      <x:c r="C29" t="str">
        <x:v>Ipsos</x:v>
      </x:c>
      <x:c r="D29" t="str"/>
      <x:c r="E29" t="str">
        <x:v>TOM</x:v>
      </x:c>
      <x:c r="F29" s="22" t="n">
        <x:v>45441</x:v>
      </x:c>
      <x:c r="G29" s="22" t="n">
        <x:v>45448</x:v>
      </x:c>
      <x:c r="H29" t="n">
        <x:v>2000</x:v>
      </x:c>
      <x:c r="I29" t="str">
        <x:v>https://www.marktforschung.de/marktforschung/a/hervorragende-exit-polls-bei-der-europawahl/</x:v>
      </x:c>
      <x:c r="J29" t="str"/>
    </x:row>
    <x:row r="30">
      <x:c r="A30" t="str">
        <x:v>P029</x:v>
      </x:c>
      <x:c r="B30" t="str">
        <x:v>DE_EP_2024</x:v>
      </x:c>
      <x:c r="C30" t="str">
        <x:v>YouGov</x:v>
      </x:c>
      <x:c r="D30" t="str"/>
      <x:c r="E30" t="str">
        <x:v>Online</x:v>
      </x:c>
      <x:c r="F30" s="22" t="n">
        <x:v>45415</x:v>
      </x:c>
      <x:c r="G30" s="22" t="n">
        <x:v>45420</x:v>
      </x:c>
      <x:c r="H30" t="n">
        <x:v>2194</x:v>
      </x:c>
      <x:c r="I30" t="str">
        <x:v>https://www.marktforschung.de/marktforschung/a/hervorragende-exit-polls-bei-der-europawahl/</x:v>
      </x:c>
      <x:c r="J30" t="str"/>
    </x:row>
    <x:row r="31">
      <x:c r="A31" t="str">
        <x:v>P030</x:v>
      </x:c>
      <x:c r="B31" t="str">
        <x:v>DE_HE_2023</x:v>
      </x:c>
      <x:c r="C31" t="str">
        <x:v>Forschungsgruppe Wahlen</x:v>
      </x:c>
      <x:c r="D31" t="str"/>
      <x:c r="E31" t="str">
        <x:v>TSM</x:v>
      </x:c>
      <x:c r="F31" s="22" t="n">
        <x:v>45203</x:v>
      </x:c>
      <x:c r="G31" s="22" t="n">
        <x:v>45204</x:v>
      </x:c>
      <x:c r="H31" t="n">
        <x:v>1000</x:v>
      </x:c>
      <x:c r="I31" t="str">
        <x:v>https://www.marktforschung.de/marktforschung/a/demoskopen-unterschaetzen-cdu-und-afd-in-hessen/</x:v>
      </x:c>
      <x:c r="J31" t="str"/>
    </x:row>
    <x:row r="32">
      <x:c r="A32" t="str">
        <x:v>P031</x:v>
      </x:c>
      <x:c r="B32" t="str">
        <x:v>DE_HE_2023</x:v>
      </x:c>
      <x:c r="C32" t="str">
        <x:v>INSA</x:v>
      </x:c>
      <x:c r="D32" t="str"/>
      <x:c r="E32" t="str">
        <x:v>Online</x:v>
      </x:c>
      <x:c r="F32" s="22" t="n">
        <x:v>45194</x:v>
      </x:c>
      <x:c r="G32" s="22" t="n">
        <x:v>45201</x:v>
      </x:c>
      <x:c r="H32" t="n">
        <x:v>1000</x:v>
      </x:c>
      <x:c r="I32" t="str">
        <x:v>https://www.marktforschung.de/marktforschung/a/demoskopen-unterschaetzen-cdu-und-afd-in-hessen/</x:v>
      </x:c>
      <x:c r="J32" t="str"/>
    </x:row>
    <x:row r="33">
      <x:c r="A33" t="str">
        <x:v>P032</x:v>
      </x:c>
      <x:c r="B33" t="str">
        <x:v>DE_HE_2023</x:v>
      </x:c>
      <x:c r="C33" t="str">
        <x:v>Infratest dimap</x:v>
      </x:c>
      <x:c r="D33" t="str"/>
      <x:c r="E33" t="str">
        <x:v>TOM</x:v>
      </x:c>
      <x:c r="F33" s="22" t="n">
        <x:v>45194</x:v>
      </x:c>
      <x:c r="G33" s="22" t="n">
        <x:v>45196</x:v>
      </x:c>
      <x:c r="H33" t="n">
        <x:v>1515</x:v>
      </x:c>
      <x:c r="I33" t="str">
        <x:v>https://www.marktforschung.de/marktforschung/a/demoskopen-unterschaetzen-cdu-und-afd-in-hessen/</x:v>
      </x:c>
      <x:c r="J33" t="str"/>
    </x:row>
    <x:row r="34">
      <x:c r="A34" t="str">
        <x:v>P033</x:v>
      </x:c>
      <x:c r="B34" t="str">
        <x:v>DE_HE_2023</x:v>
      </x:c>
      <x:c r="C34" t="str">
        <x:v>Civey</x:v>
      </x:c>
      <x:c r="D34" t="str"/>
      <x:c r="E34" t="str">
        <x:v>Online</x:v>
      </x:c>
      <x:c r="F34" s="22" t="n">
        <x:v>45193</x:v>
      </x:c>
      <x:c r="G34" s="22" t="n">
        <x:v>45200</x:v>
      </x:c>
      <x:c r="H34" t="n">
        <x:v>2900</x:v>
      </x:c>
      <x:c r="I34" t="str">
        <x:v>https://www.marktforschung.de/marktforschung/a/demoskopen-unterschaetzen-cdu-und-afd-in-hessen/</x:v>
      </x:c>
      <x:c r="J34" t="str"/>
    </x:row>
    <x:row r="35">
      <x:c r="A35" t="str">
        <x:v>P034</x:v>
      </x:c>
      <x:c r="B35" t="str">
        <x:v>DE_BY_2023</x:v>
      </x:c>
      <x:c r="C35" t="str">
        <x:v>Civey</x:v>
      </x:c>
      <x:c r="D35" t="str"/>
      <x:c r="E35" t="str">
        <x:v>Online</x:v>
      </x:c>
      <x:c r="F35" s="22" t="n">
        <x:v>45193</x:v>
      </x:c>
      <x:c r="G35" s="22" t="n">
        <x:v>45200</x:v>
      </x:c>
      <x:c r="H35" t="n">
        <x:v>5001</x:v>
      </x:c>
      <x:c r="I35" t="str">
        <x:v>https://www.marktforschung.de/marktforschung/a/phaenomene-die-es-so-wohl-nur-in-bayern-gibt/</x:v>
      </x:c>
      <x:c r="J35" t="str"/>
    </x:row>
    <x:row r="36">
      <x:c r="A36" t="str">
        <x:v>P035</x:v>
      </x:c>
      <x:c r="B36" t="str">
        <x:v>DE_BY_2023</x:v>
      </x:c>
      <x:c r="C36" t="str">
        <x:v>INSA</x:v>
      </x:c>
      <x:c r="D36" t="str"/>
      <x:c r="E36" t="str">
        <x:v>Online</x:v>
      </x:c>
      <x:c r="F36" s="22" t="n">
        <x:v>45194</x:v>
      </x:c>
      <x:c r="G36" s="22" t="n">
        <x:v>45201</x:v>
      </x:c>
      <x:c r="H36" t="n">
        <x:v>1000</x:v>
      </x:c>
      <x:c r="I36" t="str">
        <x:v>https://www.marktforschung.de/marktforschung/a/phaenomene-die-es-so-wohl-nur-in-bayern-gibt/</x:v>
      </x:c>
      <x:c r="J36" t="str"/>
    </x:row>
    <x:row r="37">
      <x:c r="A37" t="str">
        <x:v>P036</x:v>
      </x:c>
      <x:c r="B37" t="str">
        <x:v>DE_BY_2023</x:v>
      </x:c>
      <x:c r="C37" t="str">
        <x:v>GMS</x:v>
      </x:c>
      <x:c r="D37" t="str"/>
      <x:c r="E37" t="str">
        <x:v>Telefon</x:v>
      </x:c>
      <x:c r="F37" s="22" t="n">
        <x:v>45182</x:v>
      </x:c>
      <x:c r="G37" s="22" t="n">
        <x:v>45187</x:v>
      </x:c>
      <x:c r="H37" t="n">
        <x:v>1004</x:v>
      </x:c>
      <x:c r="I37" t="str">
        <x:v>https://www.marktforschung.de/marktforschung/a/phaenomene-die-es-so-wohl-nur-in-bayern-gibt/</x:v>
      </x:c>
      <x:c r="J37" t="str"/>
    </x:row>
    <x:row r="38">
      <x:c r="A38" t="str">
        <x:v>P037</x:v>
      </x:c>
      <x:c r="B38" t="str">
        <x:v>DE_BY_2023</x:v>
      </x:c>
      <x:c r="C38" t="str">
        <x:v>Infratest dimap</x:v>
      </x:c>
      <x:c r="D38" t="str"/>
      <x:c r="E38" t="str">
        <x:v>TOM</x:v>
      </x:c>
      <x:c r="F38" s="22" t="n">
        <x:v>45194</x:v>
      </x:c>
      <x:c r="G38" s="22" t="n">
        <x:v>45196</x:v>
      </x:c>
      <x:c r="H38" t="n">
        <x:v>1512</x:v>
      </x:c>
      <x:c r="I38" t="str">
        <x:v>https://www.marktforschung.de/marktforschung/a/phaenomene-die-es-so-wohl-nur-in-bayern-gibt/</x:v>
      </x:c>
      <x:c r="J38" t="str"/>
    </x:row>
    <x:row r="39">
      <x:c r="A39" t="str">
        <x:v>P038</x:v>
      </x:c>
      <x:c r="B39" t="str">
        <x:v>DE_BY_2023</x:v>
      </x:c>
      <x:c r="C39" t="str">
        <x:v>Forschungsgruppe Wahlen</x:v>
      </x:c>
      <x:c r="D39" t="str"/>
      <x:c r="E39" t="str">
        <x:v>TSM</x:v>
      </x:c>
      <x:c r="F39" s="22" t="n">
        <x:v>45203</x:v>
      </x:c>
      <x:c r="G39" s="22" t="n">
        <x:v>45204</x:v>
      </x:c>
      <x:c r="H39" t="n">
        <x:v>1209</x:v>
      </x:c>
      <x:c r="I39" t="str">
        <x:v>https://www.marktforschung.de/marktforschung/a/phaenomene-die-es-so-wohl-nur-in-bayern-gibt/</x:v>
      </x:c>
      <x:c r="J39" t="str"/>
    </x:row>
    <x:row r="40">
      <x:c r="A40" t="str">
        <x:v>P039</x:v>
      </x:c>
      <x:c r="B40" t="str">
        <x:v>DE_BE_2023</x:v>
      </x:c>
      <x:c r="C40" t="str">
        <x:v>Infratest dimap</x:v>
      </x:c>
      <x:c r="D40" t="str"/>
      <x:c r="E40" t="str">
        <x:v>Telefon + Online</x:v>
      </x:c>
      <x:c r="F40" s="22" t="n">
        <x:v>44956</x:v>
      </x:c>
      <x:c r="G40" s="22" t="n">
        <x:v>44958</x:v>
      </x:c>
      <x:c r="H40" t="n">
        <x:v>1540</x:v>
      </x:c>
      <x:c r="I40" t="str">
        <x:v>https://www.marktforschung.de/marktforschung/a/vorwahlumfragen-berlin-zwei-institute-mit-dem-gleichen-ergebnis/</x:v>
      </x:c>
      <x:c r="J40" t="str"/>
    </x:row>
    <x:row r="41">
      <x:c r="A41" t="str">
        <x:v>P040</x:v>
      </x:c>
      <x:c r="B41" t="str">
        <x:v>DE_BE_2023</x:v>
      </x:c>
      <x:c r="C41" t="str">
        <x:v>INSA</x:v>
      </x:c>
      <x:c r="D41" t="str"/>
      <x:c r="E41" t="str">
        <x:v>Online</x:v>
      </x:c>
      <x:c r="F41" s="22" t="n">
        <x:v>44959</x:v>
      </x:c>
      <x:c r="G41" s="22" t="n">
        <x:v>44966</x:v>
      </x:c>
      <x:c r="H41" t="n">
        <x:v>1000</x:v>
      </x:c>
      <x:c r="I41" t="str">
        <x:v>https://www.marktforschung.de/marktforschung/a/vorwahlumfragen-berlin-zwei-institute-mit-dem-gleichen-ergebnis/</x:v>
      </x:c>
      <x:c r="J41" t="str"/>
    </x:row>
    <x:row r="42">
      <x:c r="A42" t="str">
        <x:v>P041</x:v>
      </x:c>
      <x:c r="B42" t="str">
        <x:v>DE_BE_2023</x:v>
      </x:c>
      <x:c r="C42" t="str">
        <x:v>Forsa</x:v>
      </x:c>
      <x:c r="D42" t="str"/>
      <x:c r="E42" t="str">
        <x:v>Online</x:v>
      </x:c>
      <x:c r="F42" s="22" t="n">
        <x:v>44956</x:v>
      </x:c>
      <x:c r="G42" s="22" t="n">
        <x:v>44960</x:v>
      </x:c>
      <x:c r="H42" t="n">
        <x:v>1005</x:v>
      </x:c>
      <x:c r="I42" t="str">
        <x:v>https://www.marktforschung.de/marktforschung/a/vorwahlumfragen-berlin-zwei-institute-mit-dem-gleichen-ergebnis/</x:v>
      </x:c>
      <x:c r="J42" t="str"/>
    </x:row>
    <x:row r="43">
      <x:c r="A43" t="str">
        <x:v>P042</x:v>
      </x:c>
      <x:c r="B43" t="str">
        <x:v>DE_BE_2023</x:v>
      </x:c>
      <x:c r="C43" t="str">
        <x:v>Forschungsgruppe Wahlen</x:v>
      </x:c>
      <x:c r="D43" t="str"/>
      <x:c r="E43" t="str">
        <x:v>Telefon</x:v>
      </x:c>
      <x:c r="F43" s="22" t="n">
        <x:v>44965</x:v>
      </x:c>
      <x:c r="G43" s="22" t="n">
        <x:v>44966</x:v>
      </x:c>
      <x:c r="H43" t="n">
        <x:v>1059</x:v>
      </x:c>
      <x:c r="I43" t="str">
        <x:v>https://www.marktforschung.de/marktforschung/a/vorwahlumfragen-berlin-zwei-institute-mit-dem-gleichen-ergebnis/</x:v>
      </x:c>
      <x:c r="J43" t="str"/>
    </x:row>
    <x:row r="44">
      <x:c r="A44" t="str">
        <x:v>P043</x:v>
      </x:c>
      <x:c r="B44" t="str">
        <x:v>DE_BE_2023</x:v>
      </x:c>
      <x:c r="C44" t="str">
        <x:v>Civey</x:v>
      </x:c>
      <x:c r="D44" t="str"/>
      <x:c r="E44" t="str">
        <x:v>Online</x:v>
      </x:c>
      <x:c r="F44" s="22" t="n">
        <x:v>44959</x:v>
      </x:c>
      <x:c r="G44" s="22" t="n">
        <x:v>44966</x:v>
      </x:c>
      <x:c r="H44" t="n">
        <x:v>2002</x:v>
      </x:c>
      <x:c r="I44" t="str">
        <x:v>https://www.marktforschung.de/marktforschung/a/vorwahlumfragen-berlin-zwei-institute-mit-dem-gleichen-ergebnis/</x:v>
      </x:c>
      <x:c r="J44" t="str"/>
    </x:row>
    <x:row r="45">
      <x:c r="A45" t="str">
        <x:v>P044</x:v>
      </x:c>
      <x:c r="B45" t="str">
        <x:v>DE_NI_2022</x:v>
      </x:c>
      <x:c r="C45" t="str">
        <x:v>Forschungsgruppe Wahlen</x:v>
      </x:c>
      <x:c r="D45" t="str"/>
      <x:c r="E45" t="str">
        <x:v>Telefon</x:v>
      </x:c>
      <x:c r="F45" s="22" t="n">
        <x:v>44839</x:v>
      </x:c>
      <x:c r="G45" s="22" t="n">
        <x:v>44840</x:v>
      </x:c>
      <x:c r="H45" t="n">
        <x:v>1046</x:v>
      </x:c>
      <x:c r="I45" t="str">
        <x:v>https://www.marktforschung.de/marktforschung/a/hervorragende-vorwahlumfragen-in-niedersachsen-mit-einem-wermutstropfen/</x:v>
      </x:c>
      <x:c r="J45" t="str"/>
    </x:row>
    <x:row r="46">
      <x:c r="A46" t="str">
        <x:v>P045</x:v>
      </x:c>
      <x:c r="B46" t="str">
        <x:v>DE_NI_2022</x:v>
      </x:c>
      <x:c r="C46" t="str">
        <x:v>INSA</x:v>
      </x:c>
      <x:c r="D46" t="str"/>
      <x:c r="E46" t="str">
        <x:v>Online</x:v>
      </x:c>
      <x:c r="F46" s="22" t="n">
        <x:v>44833</x:v>
      </x:c>
      <x:c r="G46" s="22" t="n">
        <x:v>44838</x:v>
      </x:c>
      <x:c r="H46" t="n">
        <x:v>1000</x:v>
      </x:c>
      <x:c r="I46" t="str">
        <x:v>https://www.marktforschung.de/marktforschung/a/hervorragende-vorwahlumfragen-in-niedersachsen-mit-einem-wermutstropfen/</x:v>
      </x:c>
      <x:c r="J46" t="str"/>
    </x:row>
    <x:row r="47">
      <x:c r="A47" t="str">
        <x:v>P046</x:v>
      </x:c>
      <x:c r="B47" t="str">
        <x:v>DE_NI_2022</x:v>
      </x:c>
      <x:c r="C47" t="str">
        <x:v>Forsa</x:v>
      </x:c>
      <x:c r="D47" t="str"/>
      <x:c r="E47" t="str">
        <x:v>Telefon + Online</x:v>
      </x:c>
      <x:c r="F47" s="22" t="n">
        <x:v>44835</x:v>
      </x:c>
      <x:c r="G47" s="22" t="n">
        <x:v>44839</x:v>
      </x:c>
      <x:c r="H47" t="n">
        <x:v>1004</x:v>
      </x:c>
      <x:c r="I47" t="str">
        <x:v>https://www.marktforschung.de/marktforschung/a/hervorragende-vorwahlumfragen-in-niedersachsen-mit-einem-wermutstropfen/</x:v>
      </x:c>
      <x:c r="J47" t="str"/>
    </x:row>
    <x:row r="48">
      <x:c r="A48" t="str">
        <x:v>P047</x:v>
      </x:c>
      <x:c r="B48" t="str">
        <x:v>DE_NI_2022</x:v>
      </x:c>
      <x:c r="C48" t="str">
        <x:v>Infratest dimap</x:v>
      </x:c>
      <x:c r="D48" t="str"/>
      <x:c r="E48" t="str">
        <x:v>Telefon + Online</x:v>
      </x:c>
      <x:c r="F48" s="22" t="n">
        <x:v>44830</x:v>
      </x:c>
      <x:c r="G48" s="22" t="n">
        <x:v>44832</x:v>
      </x:c>
      <x:c r="H48" t="n">
        <x:v>1529</x:v>
      </x:c>
      <x:c r="I48" t="str">
        <x:v>https://www.marktforschung.de/marktforschung/a/hervorragende-vorwahlumfragen-in-niedersachsen-mit-einem-wermutstropfen/</x:v>
      </x:c>
      <x:c r="J48" t="str"/>
    </x:row>
    <x:row r="49">
      <x:c r="A49" t="str">
        <x:v>P048</x:v>
      </x:c>
      <x:c r="B49" t="str">
        <x:v>DE_NI_2022</x:v>
      </x:c>
      <x:c r="C49" t="str">
        <x:v>Civey</x:v>
      </x:c>
      <x:c r="D49" t="str"/>
      <x:c r="E49" t="str">
        <x:v>Online</x:v>
      </x:c>
      <x:c r="F49" s="22" t="n">
        <x:v>44833</x:v>
      </x:c>
      <x:c r="G49" s="22" t="n">
        <x:v>44840</x:v>
      </x:c>
      <x:c r="H49" t="n">
        <x:v>3001</x:v>
      </x:c>
      <x:c r="I49" t="str">
        <x:v>https://www.marktforschung.de/marktforschung/a/hervorragende-vorwahlumfragen-in-niedersachsen-mit-einem-wermutstropfen/</x:v>
      </x:c>
      <x:c r="J49" t="str"/>
    </x:row>
    <x:row r="50">
      <x:c r="A50" t="str">
        <x:v>P049</x:v>
      </x:c>
      <x:c r="B50" t="str">
        <x:v>DE_SH_2022</x:v>
      </x:c>
      <x:c r="C50" t="str">
        <x:v>Forschungsgruppe Wahlen</x:v>
      </x:c>
      <x:c r="D50" t="str"/>
      <x:c r="E50" t="str">
        <x:v>Telefon</x:v>
      </x:c>
      <x:c r="F50" s="22" t="n">
        <x:v>44683</x:v>
      </x:c>
      <x:c r="G50" s="22" t="n">
        <x:v>44686</x:v>
      </x:c>
      <x:c r="H50" t="n">
        <x:v>1704</x:v>
      </x:c>
      <x:c r="I50" t="str">
        <x:v>https://www.marktforschung.de/marktforschung/a/die-dynamik-der-cdu-in-schleswig-holstein-wie-haben-die-demoskopen-abgeschnitten/</x:v>
      </x:c>
      <x:c r="J50" t="str"/>
    </x:row>
    <x:row r="51">
      <x:c r="A51" t="str">
        <x:v>P050</x:v>
      </x:c>
      <x:c r="B51" t="str">
        <x:v>DE_SH_2022</x:v>
      </x:c>
      <x:c r="C51" t="str">
        <x:v>Civey</x:v>
      </x:c>
      <x:c r="D51" t="str"/>
      <x:c r="E51" t="str">
        <x:v>Online</x:v>
      </x:c>
      <x:c r="F51" s="22" t="n">
        <x:v>44679</x:v>
      </x:c>
      <x:c r="G51" s="22" t="n">
        <x:v>44686</x:v>
      </x:c>
      <x:c r="H51" t="n">
        <x:v>1837</x:v>
      </x:c>
      <x:c r="I51" t="str">
        <x:v>https://www.marktforschung.de/marktforschung/a/die-dynamik-der-cdu-in-schleswig-holstein-wie-haben-die-demoskopen-abgeschnitten/</x:v>
      </x:c>
      <x:c r="J51" t="str"/>
    </x:row>
    <x:row r="52">
      <x:c r="A52" t="str">
        <x:v>P051</x:v>
      </x:c>
      <x:c r="B52" t="str">
        <x:v>DE_SH_2022</x:v>
      </x:c>
      <x:c r="C52" t="str">
        <x:v>Infratest dimap</x:v>
      </x:c>
      <x:c r="D52" t="str"/>
      <x:c r="E52" t="str">
        <x:v>Telefon + Online</x:v>
      </x:c>
      <x:c r="F52" s="22" t="n">
        <x:v>44676</x:v>
      </x:c>
      <x:c r="G52" s="22" t="n">
        <x:v>44678</x:v>
      </x:c>
      <x:c r="H52" t="n">
        <x:v>1530</x:v>
      </x:c>
      <x:c r="I52" t="str">
        <x:v>https://www.marktforschung.de/marktforschung/a/die-dynamik-der-cdu-in-schleswig-holstein-wie-haben-die-demoskopen-abgeschnitten/</x:v>
      </x:c>
      <x:c r="J52" t="str"/>
    </x:row>
    <x:row r="53">
      <x:c r="A53" t="str">
        <x:v>P052</x:v>
      </x:c>
      <x:c r="B53" t="str">
        <x:v>DE_SH_2022</x:v>
      </x:c>
      <x:c r="C53" t="str">
        <x:v>INSA</x:v>
      </x:c>
      <x:c r="D53" t="str"/>
      <x:c r="E53" t="str">
        <x:v>Online</x:v>
      </x:c>
      <x:c r="F53" s="22" t="n">
        <x:v>44676</x:v>
      </x:c>
      <x:c r="G53" s="22" t="n">
        <x:v>44683</x:v>
      </x:c>
      <x:c r="H53" t="n">
        <x:v>1000</x:v>
      </x:c>
      <x:c r="I53" t="str">
        <x:v>https://www.marktforschung.de/marktforschung/a/die-dynamik-der-cdu-in-schleswig-holstein-wie-haben-die-demoskopen-abgeschnitten/</x:v>
      </x:c>
      <x:c r="J53" t="str"/>
    </x:row>
    <x:row r="54">
      <x:c r="A54" t="str">
        <x:v>P053</x:v>
      </x:c>
      <x:c r="B54" t="str">
        <x:v>DE_SL_2022</x:v>
      </x:c>
      <x:c r="C54" t="str">
        <x:v>Forschungsgruppe Wahlen</x:v>
      </x:c>
      <x:c r="D54" t="str">
        <x:v>ZDF</x:v>
      </x:c>
      <x:c r="E54" t="str">
        <x:v>Telefon</x:v>
      </x:c>
      <x:c r="F54" s="22" t="n">
        <x:v>44641</x:v>
      </x:c>
      <x:c r="G54" s="22" t="n">
        <x:v>44644</x:v>
      </x:c>
      <x:c r="H54" t="n">
        <x:v>2375</x:v>
      </x:c>
      <x:c r="I54" t="str">
        <x:v>https://www.marktforschung.de/marktforschung/a/saarland-die-erste-herausforderung-im-wahljahr-2022/</x:v>
      </x:c>
      <x:c r="J54" t="str">
        <x:v>Article says this was the best poll with reported SSE &lt;10; exact table metric not exposed in parsed page.</x:v>
      </x:c>
    </x:row>
    <x:row r="55">
      <x:c r="A55" t="str">
        <x:v>P054</x:v>
      </x:c>
      <x:c r="B55" t="str">
        <x:v>DE_SL_2022</x:v>
      </x:c>
      <x:c r="C55" t="str">
        <x:v>INSA</x:v>
      </x:c>
      <x:c r="D55" t="str">
        <x:v>BILD</x:v>
      </x:c>
      <x:c r="E55" t="str">
        <x:v>TOM</x:v>
      </x:c>
      <x:c r="F55" s="22" t="n">
        <x:v>44634</x:v>
      </x:c>
      <x:c r="G55" s="22" t="n">
        <x:v>44637</x:v>
      </x:c>
      <x:c r="H55" t="n">
        <x:v>1000</x:v>
      </x:c>
      <x:c r="I55" t="str">
        <x:v>https://www.marktforschung.de/marktforschung/a/saarland-die-erste-herausforderung-im-wahljahr-2022/</x:v>
      </x:c>
      <x:c r="J55" t="str"/>
    </x:row>
    <x:row r="56">
      <x:c r="A56" t="str">
        <x:v>P055</x:v>
      </x:c>
      <x:c r="B56" t="str">
        <x:v>DE_SL_2022</x:v>
      </x:c>
      <x:c r="C56" t="str">
        <x:v>Infratest dimap</x:v>
      </x:c>
      <x:c r="D56" t="str">
        <x:v>ARD</x:v>
      </x:c>
      <x:c r="E56" t="str">
        <x:v>TOM</x:v>
      </x:c>
      <x:c r="F56" s="22" t="n">
        <x:v>44634</x:v>
      </x:c>
      <x:c r="G56" s="22" t="n">
        <x:v>44636</x:v>
      </x:c>
      <x:c r="H56" t="n">
        <x:v>1421</x:v>
      </x:c>
      <x:c r="I56" t="str">
        <x:v>https://www.marktforschung.de/marktforschung/a/saarland-die-erste-herausforderung-im-wahljahr-2022/</x:v>
      </x:c>
      <x:c r="J56" t="str">
        <x:v>Others aggregates smaller parties.</x:v>
      </x:c>
    </x:row>
    <x:row r="57">
      <x:c r="A57" t="str">
        <x:v>P056</x:v>
      </x:c>
      <x:c r="B57" t="str">
        <x:v>DE_SL_2022</x:v>
      </x:c>
      <x:c r="C57" t="str">
        <x:v>Civey</x:v>
      </x:c>
      <x:c r="D57" t="str"/>
      <x:c r="E57" t="str">
        <x:v>Online</x:v>
      </x:c>
      <x:c r="F57" s="22"/>
      <x:c r="G57" s="22" t="n">
        <x:v>44645</x:v>
      </x:c>
      <x:c r="H57"/>
      <x:c r="I57" t="str">
        <x:v>https://www.marktforschung.de/marktforschung/a/saarland-die-erste-herausforderung-im-wahljahr-2022/</x:v>
      </x:c>
      <x:c r="J57" t="str">
        <x:v>Article includes Civey and states exact numbers were available to editors on 25 Mar; raw party table was not exposed in parsed page, so no Poll_Party rows yet.</x:v>
      </x:c>
    </x:row>
    <x:row r="58">
      <x:c r="A58" t="str">
        <x:v>P057</x:v>
      </x:c>
      <x:c r="B58" t="str">
        <x:v>DE_BT_2021</x:v>
      </x:c>
      <x:c r="C58" t="str">
        <x:v>Allensbach</x:v>
      </x:c>
      <x:c r="D58" t="str"/>
      <x:c r="E58" t="str">
        <x:v>Face-to-face</x:v>
      </x:c>
      <x:c r="F58" s="22" t="n">
        <x:v>44455</x:v>
      </x:c>
      <x:c r="G58" s="22" t="n">
        <x:v>44462</x:v>
      </x:c>
      <x:c r="H58" t="n">
        <x:v>1554</x:v>
      </x:c>
      <x:c r="I58" t="str">
        <x:v>https://www.marktforschung.de/marktforschung/a/wahlsieger-btw-2021-die-demoskopie/</x:v>
      </x:c>
      <x:c r="J58" t="str">
        <x:v>Provisional result convention used to reproduce article-reported top-three SSE values.</x:v>
      </x:c>
    </x:row>
    <x:row r="59">
      <x:c r="A59" t="str">
        <x:v>P058</x:v>
      </x:c>
      <x:c r="B59" t="str">
        <x:v>DE_BT_2021</x:v>
      </x:c>
      <x:c r="C59" t="str">
        <x:v>Civey</x:v>
      </x:c>
      <x:c r="D59" t="str"/>
      <x:c r="E59" t="str">
        <x:v>Online</x:v>
      </x:c>
      <x:c r="F59" s="22"/>
      <x:c r="G59" s="22" t="n">
        <x:v>44462</x:v>
      </x:c>
      <x:c r="H59"/>
      <x:c r="I59" t="str">
        <x:v>https://www.marktforschung.de/marktforschung/a/wahlsieger-btw-2021-die-demoskopie/</x:v>
      </x:c>
      <x:c r="J59" t="str">
        <x:v>Provisional result convention used to reproduce article-reported top-three SSE values.</x:v>
      </x:c>
    </x:row>
    <x:row r="60">
      <x:c r="A60" t="str">
        <x:v>P059</x:v>
      </x:c>
      <x:c r="B60" t="str">
        <x:v>DE_BT_2021</x:v>
      </x:c>
      <x:c r="C60" t="str">
        <x:v>Forschungsgruppe Wahlen</x:v>
      </x:c>
      <x:c r="D60" t="str"/>
      <x:c r="E60" t="str">
        <x:v>Telefon</x:v>
      </x:c>
      <x:c r="F60" s="22" t="n">
        <x:v>44461</x:v>
      </x:c>
      <x:c r="G60" s="22" t="n">
        <x:v>44462</x:v>
      </x:c>
      <x:c r="H60" t="n">
        <x:v>1273</x:v>
      </x:c>
      <x:c r="I60" t="str">
        <x:v>https://www.marktforschung.de/marktforschung/a/wahlsieger-btw-2021-die-demoskopie/</x:v>
      </x:c>
      <x:c r="J60" t="str">
        <x:v>Provisional result convention used to reproduce article-reported top-three SSE values.</x:v>
      </x:c>
    </x:row>
    <x:row r="61">
      <x:c r="A61" t="str">
        <x:v>P060</x:v>
      </x:c>
      <x:c r="B61" t="str">
        <x:v>DE_BT_2021</x:v>
      </x:c>
      <x:c r="C61" t="str">
        <x:v>Infratest dimap</x:v>
      </x:c>
      <x:c r="D61" t="str"/>
      <x:c r="E61" t="str">
        <x:v>TOM</x:v>
      </x:c>
      <x:c r="F61" s="22" t="n">
        <x:v>44452</x:v>
      </x:c>
      <x:c r="G61" s="22" t="n">
        <x:v>44454</x:v>
      </x:c>
      <x:c r="H61" t="n">
        <x:v>1512</x:v>
      </x:c>
      <x:c r="I61" t="str">
        <x:v>https://www.marktforschung.de/marktforschung/a/wahlsieger-btw-2021-die-demoskopie/</x:v>
      </x:c>
      <x:c r="J61" t="str">
        <x:v>Provisional result convention used to reproduce article-reported top-three SSE values.</x:v>
      </x:c>
    </x:row>
    <x:row r="62">
      <x:c r="A62" t="str">
        <x:v>P061</x:v>
      </x:c>
      <x:c r="B62" t="str">
        <x:v>DE_BT_2021</x:v>
      </x:c>
      <x:c r="C62" t="str">
        <x:v>INSA</x:v>
      </x:c>
      <x:c r="D62" t="str"/>
      <x:c r="E62" t="str">
        <x:v>Online</x:v>
      </x:c>
      <x:c r="F62" s="22" t="n">
        <x:v>44456</x:v>
      </x:c>
      <x:c r="G62" s="22" t="n">
        <x:v>44459</x:v>
      </x:c>
      <x:c r="H62" t="n">
        <x:v>2054</x:v>
      </x:c>
      <x:c r="I62" t="str">
        <x:v>https://www.marktforschung.de/marktforschung/a/wahlsieger-btw-2021-die-demoskopie/</x:v>
      </x:c>
      <x:c r="J62" t="str">
        <x:v>Provisional result convention used to reproduce article-reported top-three SSE values.</x:v>
      </x:c>
    </x:row>
    <x:row r="63">
      <x:c r="A63" t="str">
        <x:v>P062</x:v>
      </x:c>
      <x:c r="B63" t="str">
        <x:v>DE_BT_2021</x:v>
      </x:c>
      <x:c r="C63" t="str">
        <x:v>Forsa</x:v>
      </x:c>
      <x:c r="D63" t="str"/>
      <x:c r="E63" t="str">
        <x:v>Telefon</x:v>
      </x:c>
      <x:c r="F63" s="22" t="n">
        <x:v>44459</x:v>
      </x:c>
      <x:c r="G63" s="22" t="n">
        <x:v>44462</x:v>
      </x:c>
      <x:c r="H63" t="n">
        <x:v>2002</x:v>
      </x:c>
      <x:c r="I63" t="str">
        <x:v>https://www.marktforschung.de/marktforschung/a/wahlsieger-btw-2021-die-demoskopie/</x:v>
      </x:c>
      <x:c r="J63" t="str">
        <x:v>Provisional result convention used to reproduce article-reported top-three SSE values.</x:v>
      </x:c>
    </x:row>
    <x:row r="64">
      <x:c r="A64" t="str">
        <x:v>P063</x:v>
      </x:c>
      <x:c r="B64" t="str">
        <x:v>DE_BT_2021</x:v>
      </x:c>
      <x:c r="C64" t="str">
        <x:v>Kantar</x:v>
      </x:c>
      <x:c r="D64" t="str"/>
      <x:c r="E64" t="str">
        <x:v>Telefon</x:v>
      </x:c>
      <x:c r="F64" s="22" t="n">
        <x:v>44454</x:v>
      </x:c>
      <x:c r="G64" s="22" t="n">
        <x:v>44460</x:v>
      </x:c>
      <x:c r="H64" t="n">
        <x:v>1443</x:v>
      </x:c>
      <x:c r="I64" t="str">
        <x:v>https://www.marktforschung.de/marktforschung/a/wahlsieger-btw-2021-die-demoskopie/</x:v>
      </x:c>
      <x:c r="J64" t="str">
        <x:v>Provisional result convention used to reproduce article-reported top-three SSE values.</x:v>
      </x:c>
    </x:row>
    <x:row r="65">
      <x:c r="A65" t="str">
        <x:v>P064</x:v>
      </x:c>
      <x:c r="B65" t="str">
        <x:v>DE_BT_2021</x:v>
      </x:c>
      <x:c r="C65" t="str">
        <x:v>YouGov</x:v>
      </x:c>
      <x:c r="D65" t="str"/>
      <x:c r="E65" t="str">
        <x:v>Online</x:v>
      </x:c>
      <x:c r="F65" s="22" t="n">
        <x:v>44455</x:v>
      </x:c>
      <x:c r="G65" s="22" t="n">
        <x:v>44461</x:v>
      </x:c>
      <x:c r="H65" t="n">
        <x:v>2364</x:v>
      </x:c>
      <x:c r="I65" t="str">
        <x:v>https://www.marktforschung.de/marktforschung/a/wahlsieger-btw-2021-die-demoskopie/</x:v>
      </x:c>
      <x:c r="J65" t="str">
        <x:v>Provisional result convention used to reproduce article-reported top-three SSE values.</x:v>
      </x:c>
    </x:row>
    <x:row r="66">
      <x:c r="A66" t="str">
        <x:v>P065</x:v>
      </x:c>
      <x:c r="B66" t="str">
        <x:v>DE_BT_2021</x:v>
      </x:c>
      <x:c r="C66" t="str">
        <x:v>Ipsos</x:v>
      </x:c>
      <x:c r="D66" t="str"/>
      <x:c r="E66" t="str">
        <x:v>TOM</x:v>
      </x:c>
      <x:c r="F66" s="22" t="n">
        <x:v>44461</x:v>
      </x:c>
      <x:c r="G66" s="22" t="n">
        <x:v>44462</x:v>
      </x:c>
      <x:c r="H66" t="n">
        <x:v>2000</x:v>
      </x:c>
      <x:c r="I66" t="str">
        <x:v>https://www.marktforschung.de/marktforschung/a/wahlsieger-btw-2021-die-demoskopie/</x:v>
      </x:c>
      <x:c r="J66" t="str">
        <x:v>Provisional result convention used to reproduce article-reported top-three SSE values.</x:v>
      </x:c>
    </x:row>
    <x:row r="67">
      <x:c r="A67" t="str">
        <x:v>P066</x:v>
      </x:c>
      <x:c r="B67" t="str">
        <x:v>DE_ST_2021</x:v>
      </x:c>
      <x:c r="C67" t="str">
        <x:v>Forschungsgruppe Wahlen</x:v>
      </x:c>
      <x:c r="D67" t="str"/>
      <x:c r="E67" t="str">
        <x:v>Telefon</x:v>
      </x:c>
      <x:c r="F67" s="22" t="n">
        <x:v>44349</x:v>
      </x:c>
      <x:c r="G67" s="22" t="n">
        <x:v>44350</x:v>
      </x:c>
      <x:c r="H67" t="n">
        <x:v>1017</x:v>
      </x:c>
      <x:c r="I67" t="str">
        <x:v>https://www.marktforschung.de/marktforschung/a/wahlumfragen-sachsen-anhalt-viel-luft-nach-oben/</x:v>
      </x:c>
      <x:c r="J67" t="str"/>
    </x:row>
    <x:row r="68">
      <x:c r="A68" t="str">
        <x:v>P067</x:v>
      </x:c>
      <x:c r="B68" t="str">
        <x:v>DE_ST_2021</x:v>
      </x:c>
      <x:c r="C68" t="str">
        <x:v>Infratest dimap</x:v>
      </x:c>
      <x:c r="D68" t="str"/>
      <x:c r="E68" t="str">
        <x:v>Telefon + Online</x:v>
      </x:c>
      <x:c r="F68" s="22" t="n">
        <x:v>44341</x:v>
      </x:c>
      <x:c r="G68" s="22" t="n">
        <x:v>44342</x:v>
      </x:c>
      <x:c r="H68" t="n">
        <x:v>1249</x:v>
      </x:c>
      <x:c r="I68" t="str">
        <x:v>https://www.marktforschung.de/marktforschung/a/wahlumfragen-sachsen-anhalt-viel-luft-nach-oben/</x:v>
      </x:c>
      <x:c r="J68" t="str"/>
    </x:row>
    <x:row r="69">
      <x:c r="A69" t="str">
        <x:v>P068</x:v>
      </x:c>
      <x:c r="B69" t="str">
        <x:v>DE_ST_2021</x:v>
      </x:c>
      <x:c r="C69" t="str">
        <x:v>Civey</x:v>
      </x:c>
      <x:c r="D69" t="str"/>
      <x:c r="E69" t="str">
        <x:v>Online</x:v>
      </x:c>
      <x:c r="F69" s="22" t="n">
        <x:v>44343</x:v>
      </x:c>
      <x:c r="G69" s="22" t="n">
        <x:v>44350</x:v>
      </x:c>
      <x:c r="H69" t="n">
        <x:v>1812</x:v>
      </x:c>
      <x:c r="I69" t="str">
        <x:v>https://www.marktforschung.de/marktforschung/a/wahlumfragen-sachsen-anhalt-viel-luft-nach-oben/</x:v>
      </x:c>
      <x:c r="J69" t="str"/>
    </x:row>
    <x:row r="70">
      <x:c r="A70" t="str">
        <x:v>P069</x:v>
      </x:c>
      <x:c r="B70" t="str">
        <x:v>DE_ST_2021</x:v>
      </x:c>
      <x:c r="C70" t="str">
        <x:v>INSA</x:v>
      </x:c>
      <x:c r="D70" t="str"/>
      <x:c r="E70" t="str">
        <x:v>Telefon + Online</x:v>
      </x:c>
      <x:c r="F70" s="22" t="n">
        <x:v>44348</x:v>
      </x:c>
      <x:c r="G70" s="22" t="n">
        <x:v>44351</x:v>
      </x:c>
      <x:c r="H70" t="n">
        <x:v>1132</x:v>
      </x:c>
      <x:c r="I70" t="str">
        <x:v>https://www.marktforschung.de/marktforschung/a/wahlumfragen-sachsen-anhalt-viel-luft-nach-oben/</x:v>
      </x:c>
      <x:c r="J70" t="str"/>
    </x:row>
    <x:row r="71">
      <x:c r="A71" t="str">
        <x:v>P070</x:v>
      </x:c>
      <x:c r="B71" t="str">
        <x:v>DE_BW_2021</x:v>
      </x:c>
      <x:c r="C71" t="str">
        <x:v>Forschungsgruppe Wahlen</x:v>
      </x:c>
      <x:c r="D71" t="str"/>
      <x:c r="E71" t="str">
        <x:v>Telefon</x:v>
      </x:c>
      <x:c r="F71" s="22" t="n">
        <x:v>44263</x:v>
      </x:c>
      <x:c r="G71" s="22" t="n">
        <x:v>44266</x:v>
      </x:c>
      <x:c r="H71" t="n">
        <x:v>1867</x:v>
      </x:c>
      <x:c r="I71" t="str">
        <x:v>https://www.marktforschung.de/marktforschung/a/warmlaufen-fuers-superwahljahr-die-forschungsgruppe-wahlen-mit-dem-besten-start/</x:v>
      </x:c>
      <x:c r="J71" t="str"/>
    </x:row>
    <x:row r="72">
      <x:c r="A72" t="str">
        <x:v>P071</x:v>
      </x:c>
      <x:c r="B72" t="str">
        <x:v>DE_BW_2021</x:v>
      </x:c>
      <x:c r="C72" t="str">
        <x:v>Infratest dimap</x:v>
      </x:c>
      <x:c r="D72" t="str"/>
      <x:c r="E72" t="str">
        <x:v>Telefon + Online</x:v>
      </x:c>
      <x:c r="F72" s="22" t="n">
        <x:v>44256</x:v>
      </x:c>
      <x:c r="G72" s="22" t="n">
        <x:v>44258</x:v>
      </x:c>
      <x:c r="H72" t="n">
        <x:v>1185</x:v>
      </x:c>
      <x:c r="I72" t="str">
        <x:v>https://www.marktforschung.de/marktforschung/a/warmlaufen-fuers-superwahljahr-die-forschungsgruppe-wahlen-mit-dem-besten-start/</x:v>
      </x:c>
      <x:c r="J72" t="str"/>
    </x:row>
    <x:row r="73">
      <x:c r="A73" t="str">
        <x:v>P072</x:v>
      </x:c>
      <x:c r="B73" t="str">
        <x:v>DE_BW_2021</x:v>
      </x:c>
      <x:c r="C73" t="str">
        <x:v>Civey</x:v>
      </x:c>
      <x:c r="D73" t="str"/>
      <x:c r="E73" t="str">
        <x:v>Online</x:v>
      </x:c>
      <x:c r="F73" s="22" t="n">
        <x:v>44257</x:v>
      </x:c>
      <x:c r="G73" s="22" t="n">
        <x:v>44264</x:v>
      </x:c>
      <x:c r="H73" t="n">
        <x:v>2069</x:v>
      </x:c>
      <x:c r="I73" t="str">
        <x:v>https://www.marktforschung.de/marktforschung/a/warmlaufen-fuers-superwahljahr-die-forschungsgruppe-wahlen-mit-dem-besten-start/</x:v>
      </x:c>
      <x:c r="J73" t="str"/>
    </x:row>
    <x:row r="74">
      <x:c r="A74" t="str">
        <x:v>P073</x:v>
      </x:c>
      <x:c r="B74" t="str">
        <x:v>DE_BW_2021</x:v>
      </x:c>
      <x:c r="C74" t="str">
        <x:v>INSA</x:v>
      </x:c>
      <x:c r="D74" t="str"/>
      <x:c r="E74" t="str">
        <x:v>Telefon + Online</x:v>
      </x:c>
      <x:c r="F74" s="22" t="n">
        <x:v>44266</x:v>
      </x:c>
      <x:c r="G74" s="22" t="n">
        <x:v>44267</x:v>
      </x:c>
      <x:c r="H74" t="n">
        <x:v>1066</x:v>
      </x:c>
      <x:c r="I74" t="str">
        <x:v>https://www.marktforschung.de/marktforschung/a/warmlaufen-fuers-superwahljahr-die-forschungsgruppe-wahlen-mit-dem-besten-start/</x:v>
      </x:c>
      <x:c r="J74" t="str"/>
    </x:row>
    <x:row r="75">
      <x:c r="A75" t="str">
        <x:v>P074</x:v>
      </x:c>
      <x:c r="B75" t="str">
        <x:v>DE_RP_2021</x:v>
      </x:c>
      <x:c r="C75" t="str">
        <x:v>Forschungsgruppe Wahlen</x:v>
      </x:c>
      <x:c r="D75" t="str"/>
      <x:c r="E75" t="str">
        <x:v>Telefon</x:v>
      </x:c>
      <x:c r="F75" s="22" t="n">
        <x:v>44263</x:v>
      </x:c>
      <x:c r="G75" s="22" t="n">
        <x:v>44266</x:v>
      </x:c>
      <x:c r="H75" t="n">
        <x:v>1735</x:v>
      </x:c>
      <x:c r="I75" t="str">
        <x:v>https://www.marktforschung.de/marktforschung/a/warmlaufen-fuers-superwahljahr-die-forschungsgruppe-wahlen-mit-dem-besten-start/</x:v>
      </x:c>
      <x:c r="J75" t="str"/>
    </x:row>
    <x:row r="76">
      <x:c r="A76" t="str">
        <x:v>P075</x:v>
      </x:c>
      <x:c r="B76" t="str">
        <x:v>DE_RP_2021</x:v>
      </x:c>
      <x:c r="C76" t="str">
        <x:v>INSA</x:v>
      </x:c>
      <x:c r="D76" t="str"/>
      <x:c r="E76" t="str">
        <x:v>Telefon + Online</x:v>
      </x:c>
      <x:c r="F76" s="22" t="n">
        <x:v>44256</x:v>
      </x:c>
      <x:c r="G76" s="22" t="n">
        <x:v>44263</x:v>
      </x:c>
      <x:c r="H76" t="n">
        <x:v>1023</x:v>
      </x:c>
      <x:c r="I76" t="str">
        <x:v>https://www.marktforschung.de/marktforschung/a/warmlaufen-fuers-superwahljahr-die-forschungsgruppe-wahlen-mit-dem-besten-start/</x:v>
      </x:c>
      <x:c r="J76" t="str"/>
    </x:row>
    <x:row r="77">
      <x:c r="A77" t="str">
        <x:v>P076</x:v>
      </x:c>
      <x:c r="B77" t="str">
        <x:v>DE_RP_2021</x:v>
      </x:c>
      <x:c r="C77" t="str">
        <x:v>Civey</x:v>
      </x:c>
      <x:c r="D77" t="str"/>
      <x:c r="E77" t="str">
        <x:v>Online</x:v>
      </x:c>
      <x:c r="F77" s="22" t="n">
        <x:v>44257</x:v>
      </x:c>
      <x:c r="G77" s="22" t="n">
        <x:v>44264</x:v>
      </x:c>
      <x:c r="H77" t="n">
        <x:v>2020</x:v>
      </x:c>
      <x:c r="I77" t="str">
        <x:v>https://www.marktforschung.de/marktforschung/a/warmlaufen-fuers-superwahljahr-die-forschungsgruppe-wahlen-mit-dem-besten-start/</x:v>
      </x:c>
      <x:c r="J77" t="str"/>
    </x:row>
    <x:row r="78">
      <x:c r="A78" t="str">
        <x:v>P077</x:v>
      </x:c>
      <x:c r="B78" t="str">
        <x:v>DE_RP_2021</x:v>
      </x:c>
      <x:c r="C78" t="str">
        <x:v>Infratest dimap</x:v>
      </x:c>
      <x:c r="D78" t="str"/>
      <x:c r="E78" t="str">
        <x:v>Telefon + Online</x:v>
      </x:c>
      <x:c r="F78" s="22" t="n">
        <x:v>44256</x:v>
      </x:c>
      <x:c r="G78" s="22" t="n">
        <x:v>44258</x:v>
      </x:c>
      <x:c r="H78" t="n">
        <x:v>1186</x:v>
      </x:c>
      <x:c r="I78" t="str">
        <x:v>https://www.marktforschung.de/marktforschung/a/warmlaufen-fuers-superwahljahr-die-forschungsgruppe-wahlen-mit-dem-besten-start/</x:v>
      </x:c>
      <x:c r="J78" t="str"/>
    </x:row>
    <x:row r="79">
      <x:c r="A79" t="str">
        <x:v>P078</x:v>
      </x:c>
      <x:c r="B79" t="str">
        <x:v>DE_HH_2020</x:v>
      </x:c>
      <x:c r="C79" t="str">
        <x:v>Forschungsgruppe Wahlen</x:v>
      </x:c>
      <x:c r="D79" t="str"/>
      <x:c r="E79" t="str">
        <x:v>Telefon</x:v>
      </x:c>
      <x:c r="F79" s="22" t="n">
        <x:v>43880</x:v>
      </x:c>
      <x:c r="G79" s="22" t="n">
        <x:v>43881</x:v>
      </x:c>
      <x:c r="H79" t="n">
        <x:v>1184</x:v>
      </x:c>
      <x:c r="I79" t="str">
        <x:v>https://www.marktforschung.de/marktforschung/a/buergerschaftswahl-in-hamburg-so-verlief-das-rennen-der-meinungsforscher/</x:v>
      </x:c>
      <x:c r="J79" t="str"/>
    </x:row>
    <x:row r="80">
      <x:c r="A80" t="str">
        <x:v>P079</x:v>
      </x:c>
      <x:c r="B80" t="str">
        <x:v>DE_HH_2020</x:v>
      </x:c>
      <x:c r="C80" t="str">
        <x:v>Civey</x:v>
      </x:c>
      <x:c r="D80" t="str"/>
      <x:c r="E80" t="str">
        <x:v>Online</x:v>
      </x:c>
      <x:c r="F80" s="22" t="n">
        <x:v>43866</x:v>
      </x:c>
      <x:c r="G80" s="22" t="n">
        <x:v>43880</x:v>
      </x:c>
      <x:c r="H80" t="n">
        <x:v>3468</x:v>
      </x:c>
      <x:c r="I80" t="str">
        <x:v>https://www.marktforschung.de/marktforschung/a/buergerschaftswahl-in-hamburg-so-verlief-das-rennen-der-meinungsforscher/</x:v>
      </x:c>
      <x:c r="J80" t="str"/>
    </x:row>
    <x:row r="81">
      <x:c r="A81" t="str">
        <x:v>P080</x:v>
      </x:c>
      <x:c r="B81" t="str">
        <x:v>DE_HH_2020</x:v>
      </x:c>
      <x:c r="C81" t="str">
        <x:v>Universität Hamburg</x:v>
      </x:c>
      <x:c r="D81" t="str"/>
      <x:c r="E81" t="str">
        <x:v>Telefon</x:v>
      </x:c>
      <x:c r="F81" s="22" t="n">
        <x:v>43832</x:v>
      </x:c>
      <x:c r="G81" s="22" t="n">
        <x:v>43875</x:v>
      </x:c>
      <x:c r="H81" t="n">
        <x:v>1004</x:v>
      </x:c>
      <x:c r="I81" t="str">
        <x:v>https://www.marktforschung.de/marktforschung/a/buergerschaftswahl-in-hamburg-so-verlief-das-rennen-der-meinungsforscher/</x:v>
      </x:c>
      <x:c r="J81" t="str"/>
    </x:row>
    <x:row r="82">
      <x:c r="A82" t="str">
        <x:v>P081</x:v>
      </x:c>
      <x:c r="B82" t="str">
        <x:v>DE_HH_2020</x:v>
      </x:c>
      <x:c r="C82" t="str">
        <x:v>INSA</x:v>
      </x:c>
      <x:c r="D82" t="str"/>
      <x:c r="E82" t="str">
        <x:v>Telefon + Online</x:v>
      </x:c>
      <x:c r="F82" s="22" t="n">
        <x:v>43873</x:v>
      </x:c>
      <x:c r="G82" s="22" t="n">
        <x:v>43878</x:v>
      </x:c>
      <x:c r="H82" t="n">
        <x:v>1000</x:v>
      </x:c>
      <x:c r="I82" t="str">
        <x:v>https://www.marktforschung.de/marktforschung/a/buergerschaftswahl-in-hamburg-so-verlief-das-rennen-der-meinungsforscher/</x:v>
      </x:c>
      <x:c r="J82" t="str"/>
    </x:row>
    <x:row r="83">
      <x:c r="A83" t="str">
        <x:v>P082</x:v>
      </x:c>
      <x:c r="B83" t="str">
        <x:v>DE_HH_2020</x:v>
      </x:c>
      <x:c r="C83" t="str">
        <x:v>Infratest dimap</x:v>
      </x:c>
      <x:c r="D83" t="str"/>
      <x:c r="E83" t="str">
        <x:v>Telefon</x:v>
      </x:c>
      <x:c r="F83" s="22" t="n">
        <x:v>43871</x:v>
      </x:c>
      <x:c r="G83" s="22" t="n">
        <x:v>43873</x:v>
      </x:c>
      <x:c r="H83" t="n">
        <x:v>1003</x:v>
      </x:c>
      <x:c r="I83" t="str">
        <x:v>https://www.marktforschung.de/marktforschung/a/buergerschaftswahl-in-hamburg-so-verlief-das-rennen-der-meinungsforscher/</x:v>
      </x:c>
      <x:c r="J83" t="str"/>
    </x:row>
    <x:row r="84">
      <x:c r="A84" t="str">
        <x:v>P083</x:v>
      </x:c>
      <x:c r="B84" t="str">
        <x:v>DE_HH_2020</x:v>
      </x:c>
      <x:c r="C84" t="str">
        <x:v>Trend Research Hamburg</x:v>
      </x:c>
      <x:c r="D84" t="str"/>
      <x:c r="E84" t="str">
        <x:v>Online</x:v>
      </x:c>
      <x:c r="F84" s="22" t="n">
        <x:v>43854</x:v>
      </x:c>
      <x:c r="G84" s="22" t="n">
        <x:v>43859</x:v>
      </x:c>
      <x:c r="H84" t="n">
        <x:v>675</x:v>
      </x:c>
      <x:c r="I84" t="str">
        <x:v>https://www.marktforschung.de/marktforschung/a/buergerschaftswahl-in-hamburg-so-verlief-das-rennen-der-meinungsforscher/</x:v>
      </x:c>
      <x:c r="J84" t="str"/>
    </x:row>
    <x:row r="85">
      <x:c r="F85" s="22"/>
      <x:c r="G85" s="22"/>
    </x:row>
    <x:row r="86">
      <x:c r="F86" s="22"/>
      <x:c r="G86" s="22"/>
    </x:row>
    <x:row r="87">
      <x:c r="F87" s="22"/>
      <x:c r="G87" s="22"/>
    </x:row>
    <x:row r="88">
      <x:c r="F88" s="22"/>
      <x:c r="G88" s="22"/>
    </x:row>
    <x:row r="89">
      <x:c r="F89" s="22"/>
      <x:c r="G89" s="22"/>
    </x:row>
    <x:row r="90">
      <x:c r="F90" s="22"/>
      <x:c r="G90" s="22"/>
    </x:row>
    <x:row r="91">
      <x:c r="F91" s="22"/>
      <x:c r="G91" s="22"/>
    </x:row>
    <x:row r="92">
      <x:c r="F92" s="22"/>
      <x:c r="G92" s="22"/>
    </x:row>
    <x:row r="93">
      <x:c r="F93" s="22"/>
      <x:c r="G93" s="22"/>
    </x:row>
    <x:row r="94">
      <x:c r="F94" s="22"/>
      <x:c r="G94" s="22"/>
    </x:row>
    <x:row r="95">
      <x:c r="F95" s="22"/>
      <x:c r="G95" s="22"/>
    </x:row>
    <x:row r="96">
      <x:c r="F96" s="22"/>
      <x:c r="G96" s="22"/>
    </x:row>
    <x:row r="97">
      <x:c r="F97" s="22"/>
      <x:c r="G97" s="22"/>
    </x:row>
    <x:row r="98">
      <x:c r="F98" s="22"/>
      <x:c r="G98" s="22"/>
    </x:row>
    <x:row r="99">
      <x:c r="F99" s="22"/>
      <x:c r="G99" s="22"/>
    </x:row>
    <x:row r="100">
      <x:c r="F100" s="22"/>
      <x:c r="G100" s="22"/>
    </x:row>
    <x:row r="101">
      <x:c r="F101" s="22"/>
      <x:c r="G101" s="22"/>
    </x:row>
    <x:row r="102">
      <x:c r="F102" s="22"/>
      <x:c r="G102" s="22"/>
    </x:row>
    <x:row r="103">
      <x:c r="F103" s="22"/>
      <x:c r="G103" s="22"/>
    </x:row>
    <x:row r="104">
      <x:c r="F104" s="22"/>
      <x:c r="G104" s="22"/>
    </x:row>
    <x:row r="105">
      <x:c r="F105" s="22"/>
      <x:c r="G105" s="22"/>
    </x:row>
    <x:row r="106">
      <x:c r="F106" s="22"/>
      <x:c r="G106" s="22"/>
    </x:row>
    <x:row r="107">
      <x:c r="F107" s="22"/>
      <x:c r="G107" s="22"/>
    </x:row>
    <x:row r="108">
      <x:c r="F108" s="22"/>
      <x:c r="G108" s="22"/>
    </x:row>
    <x:row r="109">
      <x:c r="F109" s="22"/>
      <x:c r="G109" s="22"/>
    </x:row>
    <x:row r="110">
      <x:c r="F110" s="22"/>
      <x:c r="G110" s="22"/>
    </x:row>
    <x:row r="111">
      <x:c r="F111" s="22"/>
      <x:c r="G111" s="22"/>
    </x:row>
    <x:row r="112">
      <x:c r="F112" s="22"/>
      <x:c r="G112" s="22"/>
    </x:row>
    <x:row r="113">
      <x:c r="F113" s="22"/>
      <x:c r="G113" s="22"/>
    </x:row>
    <x:row r="114">
      <x:c r="F114" s="22"/>
      <x:c r="G114" s="22"/>
    </x:row>
    <x:row r="115">
      <x:c r="F115" s="22"/>
      <x:c r="G115" s="22"/>
    </x:row>
    <x:row r="116">
      <x:c r="F116" s="22"/>
      <x:c r="G116" s="22"/>
    </x:row>
    <x:row r="117">
      <x:c r="F117" s="22"/>
      <x:c r="G117" s="22"/>
    </x:row>
    <x:row r="118">
      <x:c r="F118" s="22"/>
      <x:c r="G118" s="22"/>
    </x:row>
    <x:row r="119">
      <x:c r="F119" s="22"/>
      <x:c r="G119" s="22"/>
    </x:row>
    <x:row r="120">
      <x:c r="F120" s="22"/>
      <x:c r="G120" s="22"/>
    </x:row>
    <x:row r="121">
      <x:c r="F121" s="22"/>
      <x:c r="G121" s="22"/>
    </x:row>
    <x:row r="122">
      <x:c r="F122" s="22"/>
      <x:c r="G122" s="22"/>
    </x:row>
    <x:row r="123">
      <x:c r="F123" s="22"/>
      <x:c r="G123" s="22"/>
    </x:row>
    <x:row r="124">
      <x:c r="F124" s="22"/>
      <x:c r="G124" s="22"/>
    </x:row>
    <x:row r="125">
      <x:c r="F125" s="22"/>
      <x:c r="G125" s="22"/>
    </x:row>
    <x:row r="126">
      <x:c r="F126" s="22"/>
      <x:c r="G126" s="22"/>
    </x:row>
    <x:row r="127">
      <x:c r="F127" s="22"/>
      <x:c r="G127" s="22"/>
    </x:row>
    <x:row r="128">
      <x:c r="F128" s="22"/>
      <x:c r="G128" s="22"/>
    </x:row>
    <x:row r="129">
      <x:c r="F129" s="22"/>
      <x:c r="G129" s="22"/>
    </x:row>
    <x:row r="130">
      <x:c r="F130" s="22"/>
      <x:c r="G130" s="22"/>
    </x:row>
    <x:row r="131">
      <x:c r="F131" s="22"/>
      <x:c r="G131" s="22"/>
    </x:row>
    <x:row r="132">
      <x:c r="F132" s="22"/>
      <x:c r="G132" s="22"/>
    </x:row>
    <x:row r="133">
      <x:c r="F133" s="22"/>
      <x:c r="G133" s="22"/>
    </x:row>
    <x:row r="134">
      <x:c r="F134" s="22"/>
      <x:c r="G134" s="22"/>
    </x:row>
    <x:row r="135">
      <x:c r="F135" s="22"/>
      <x:c r="G135" s="22"/>
    </x:row>
    <x:row r="136">
      <x:c r="F136" s="22"/>
      <x:c r="G136" s="22"/>
    </x:row>
    <x:row r="137">
      <x:c r="F137" s="22"/>
      <x:c r="G137" s="22"/>
    </x:row>
    <x:row r="138">
      <x:c r="F138" s="22"/>
      <x:c r="G138" s="22"/>
    </x:row>
    <x:row r="139">
      <x:c r="F139" s="22"/>
      <x:c r="G139" s="22"/>
    </x:row>
    <x:row r="140">
      <x:c r="F140" s="22"/>
      <x:c r="G140" s="22"/>
    </x:row>
    <x:row r="141">
      <x:c r="F141" s="22"/>
      <x:c r="G141" s="22"/>
    </x:row>
    <x:row r="142">
      <x:c r="F142" s="22"/>
      <x:c r="G142" s="22"/>
    </x:row>
    <x:row r="143">
      <x:c r="F143" s="22"/>
      <x:c r="G143" s="22"/>
    </x:row>
    <x:row r="144">
      <x:c r="F144" s="22"/>
      <x:c r="G144" s="22"/>
    </x:row>
    <x:row r="145">
      <x:c r="F145" s="22"/>
      <x:c r="G145" s="22"/>
    </x:row>
    <x:row r="146">
      <x:c r="F146" s="22"/>
      <x:c r="G146" s="22"/>
    </x:row>
    <x:row r="147">
      <x:c r="F147" s="22"/>
      <x:c r="G147" s="22"/>
    </x:row>
    <x:row r="148">
      <x:c r="F148" s="22"/>
      <x:c r="G148" s="22"/>
    </x:row>
    <x:row r="149">
      <x:c r="F149" s="22"/>
      <x:c r="G149" s="22"/>
    </x:row>
    <x:row r="150">
      <x:c r="F150" s="22"/>
      <x:c r="G150" s="22"/>
    </x:row>
    <x:row r="151">
      <x:c r="F151" s="22"/>
      <x:c r="G151" s="22"/>
    </x:row>
    <x:row r="152">
      <x:c r="F152" s="22"/>
      <x:c r="G152" s="22"/>
    </x:row>
    <x:row r="153">
      <x:c r="F153" s="22"/>
      <x:c r="G153" s="22"/>
    </x:row>
    <x:row r="154">
      <x:c r="F154" s="22"/>
      <x:c r="G154" s="22"/>
    </x:row>
    <x:row r="155">
      <x:c r="F155" s="22"/>
      <x:c r="G155" s="22"/>
    </x:row>
    <x:row r="156">
      <x:c r="F156" s="22"/>
      <x:c r="G156" s="22"/>
    </x:row>
    <x:row r="157">
      <x:c r="F157" s="22"/>
      <x:c r="G157" s="22"/>
    </x:row>
    <x:row r="158">
      <x:c r="F158" s="22"/>
      <x:c r="G158" s="22"/>
    </x:row>
    <x:row r="159">
      <x:c r="F159" s="22"/>
      <x:c r="G159" s="22"/>
    </x:row>
    <x:row r="160">
      <x:c r="F160" s="22"/>
      <x:c r="G160" s="22"/>
    </x:row>
    <x:row r="161">
      <x:c r="F161" s="22"/>
      <x:c r="G161" s="22"/>
    </x:row>
    <x:row r="162">
      <x:c r="F162" s="22"/>
      <x:c r="G162" s="22"/>
    </x:row>
    <x:row r="163">
      <x:c r="F163" s="22"/>
      <x:c r="G163" s="22"/>
    </x:row>
    <x:row r="164">
      <x:c r="F164" s="22"/>
      <x:c r="G164" s="22"/>
    </x:row>
    <x:row r="165">
      <x:c r="F165" s="22"/>
      <x:c r="G165" s="22"/>
    </x:row>
    <x:row r="166">
      <x:c r="F166" s="22"/>
      <x:c r="G166" s="22"/>
    </x:row>
    <x:row r="167">
      <x:c r="F167" s="22"/>
      <x:c r="G167" s="22"/>
    </x:row>
    <x:row r="168">
      <x:c r="F168" s="22"/>
      <x:c r="G168" s="22"/>
    </x:row>
    <x:row r="169">
      <x:c r="F169" s="22"/>
      <x:c r="G169" s="22"/>
    </x:row>
    <x:row r="170">
      <x:c r="F170" s="22"/>
      <x:c r="G170" s="22"/>
    </x:row>
    <x:row r="171">
      <x:c r="F171" s="22"/>
      <x:c r="G171" s="22"/>
    </x:row>
    <x:row r="172">
      <x:c r="F172" s="22"/>
      <x:c r="G172" s="22"/>
    </x:row>
    <x:row r="173">
      <x:c r="F173" s="22"/>
      <x:c r="G173" s="22"/>
    </x:row>
    <x:row r="174">
      <x:c r="F174" s="22"/>
      <x:c r="G174" s="22"/>
    </x:row>
    <x:row r="175">
      <x:c r="F175" s="22"/>
      <x:c r="G175" s="22"/>
    </x:row>
    <x:row r="176">
      <x:c r="F176" s="22"/>
      <x:c r="G176" s="22"/>
    </x:row>
    <x:row r="177">
      <x:c r="F177" s="22"/>
      <x:c r="G177" s="22"/>
    </x:row>
    <x:row r="178">
      <x:c r="F178" s="22"/>
      <x:c r="G178" s="22"/>
    </x:row>
    <x:row r="179">
      <x:c r="F179" s="22"/>
      <x:c r="G179" s="22"/>
    </x:row>
    <x:row r="180">
      <x:c r="F180" s="22"/>
      <x:c r="G180" s="22"/>
    </x:row>
    <x:row r="181">
      <x:c r="F181" s="22"/>
      <x:c r="G181" s="22"/>
    </x:row>
    <x:row r="182">
      <x:c r="F182" s="22"/>
      <x:c r="G182" s="22"/>
    </x:row>
    <x:row r="183">
      <x:c r="F183" s="22"/>
      <x:c r="G183" s="22"/>
    </x:row>
    <x:row r="184">
      <x:c r="F184" s="22"/>
      <x:c r="G184" s="22"/>
    </x:row>
    <x:row r="185">
      <x:c r="F185" s="22"/>
      <x:c r="G185" s="22"/>
    </x:row>
    <x:row r="186">
      <x:c r="F186" s="22"/>
      <x:c r="G186" s="22"/>
    </x:row>
    <x:row r="187">
      <x:c r="F187" s="22"/>
      <x:c r="G187" s="22"/>
    </x:row>
    <x:row r="188">
      <x:c r="F188" s="22"/>
      <x:c r="G188" s="22"/>
    </x:row>
    <x:row r="189">
      <x:c r="F189" s="22"/>
      <x:c r="G189" s="22"/>
    </x:row>
    <x:row r="190">
      <x:c r="F190" s="22"/>
      <x:c r="G190" s="22"/>
    </x:row>
    <x:row r="191">
      <x:c r="F191" s="22"/>
      <x:c r="G191" s="22"/>
    </x:row>
    <x:row r="192">
      <x:c r="F192" s="22"/>
      <x:c r="G192" s="22"/>
    </x:row>
    <x:row r="193">
      <x:c r="F193" s="22"/>
      <x:c r="G193" s="22"/>
    </x:row>
    <x:row r="194">
      <x:c r="F194" s="22"/>
      <x:c r="G194" s="22"/>
    </x:row>
    <x:row r="195">
      <x:c r="F195" s="22"/>
      <x:c r="G195" s="22"/>
    </x:row>
    <x:row r="196">
      <x:c r="F196" s="22"/>
      <x:c r="G196" s="22"/>
    </x:row>
    <x:row r="197">
      <x:c r="F197" s="22"/>
      <x:c r="G197" s="22"/>
    </x:row>
    <x:row r="198">
      <x:c r="F198" s="22"/>
      <x:c r="G198" s="22"/>
    </x:row>
    <x:row r="199">
      <x:c r="F199" s="22"/>
      <x:c r="G199" s="22"/>
    </x:row>
    <x:row r="200">
      <x:c r="F200" s="22"/>
      <x:c r="G200" s="22"/>
    </x:row>
    <x:row r="201">
      <x:c r="F201" s="22"/>
      <x:c r="G201" s="22"/>
    </x:row>
    <x:row r="202">
      <x:c r="F202" s="22"/>
      <x:c r="G202" s="22"/>
    </x:row>
    <x:row r="203">
      <x:c r="F203" s="22"/>
      <x:c r="G203" s="22"/>
    </x:row>
    <x:row r="204">
      <x:c r="F204" s="22"/>
      <x:c r="G204" s="22"/>
    </x:row>
    <x:row r="205">
      <x:c r="F205" s="22"/>
      <x:c r="G205" s="22"/>
    </x:row>
    <x:row r="206">
      <x:c r="F206" s="22"/>
      <x:c r="G206" s="22"/>
    </x:row>
    <x:row r="207">
      <x:c r="F207" s="22"/>
      <x:c r="G207" s="22"/>
    </x:row>
    <x:row r="208">
      <x:c r="F208" s="22"/>
      <x:c r="G208" s="22"/>
    </x:row>
    <x:row r="209">
      <x:c r="F209" s="22"/>
      <x:c r="G209" s="22"/>
    </x:row>
    <x:row r="210">
      <x:c r="F210" s="22"/>
      <x:c r="G210" s="22"/>
    </x:row>
    <x:row r="211">
      <x:c r="F211" s="22"/>
      <x:c r="G211" s="22"/>
    </x:row>
    <x:row r="212">
      <x:c r="F212" s="22"/>
      <x:c r="G212" s="22"/>
    </x:row>
    <x:row r="213">
      <x:c r="F213" s="22"/>
      <x:c r="G213" s="22"/>
    </x:row>
    <x:row r="214">
      <x:c r="F214" s="22"/>
      <x:c r="G214" s="22"/>
    </x:row>
    <x:row r="215">
      <x:c r="F215" s="22"/>
      <x:c r="G215" s="22"/>
    </x:row>
    <x:row r="216">
      <x:c r="F216" s="22"/>
      <x:c r="G216" s="22"/>
    </x:row>
    <x:row r="217">
      <x:c r="F217" s="22"/>
      <x:c r="G217" s="22"/>
    </x:row>
    <x:row r="218">
      <x:c r="F218" s="22"/>
      <x:c r="G218" s="22"/>
    </x:row>
    <x:row r="219">
      <x:c r="F219" s="22"/>
      <x:c r="G219" s="22"/>
    </x:row>
    <x:row r="220">
      <x:c r="F220" s="22"/>
      <x:c r="G220" s="22"/>
    </x:row>
    <x:row r="221">
      <x:c r="F221" s="22"/>
      <x:c r="G221" s="22"/>
    </x:row>
    <x:row r="222">
      <x:c r="F222" s="22"/>
      <x:c r="G222" s="22"/>
    </x:row>
    <x:row r="223">
      <x:c r="F223" s="22"/>
      <x:c r="G223" s="22"/>
    </x:row>
    <x:row r="224">
      <x:c r="F224" s="22"/>
      <x:c r="G224" s="22"/>
    </x:row>
    <x:row r="225">
      <x:c r="F225" s="22"/>
      <x:c r="G225" s="22"/>
    </x:row>
    <x:row r="226">
      <x:c r="F226" s="22"/>
      <x:c r="G226" s="22"/>
    </x:row>
    <x:row r="227">
      <x:c r="F227" s="22"/>
      <x:c r="G227" s="22"/>
    </x:row>
    <x:row r="228">
      <x:c r="F228" s="22"/>
      <x:c r="G228" s="22"/>
    </x:row>
    <x:row r="229">
      <x:c r="F229" s="22"/>
      <x:c r="G229" s="22"/>
    </x:row>
    <x:row r="230">
      <x:c r="F230" s="22"/>
      <x:c r="G230" s="22"/>
    </x:row>
    <x:row r="231">
      <x:c r="F231" s="22"/>
      <x:c r="G231" s="22"/>
    </x:row>
    <x:row r="232">
      <x:c r="F232" s="22"/>
      <x:c r="G232" s="22"/>
    </x:row>
    <x:row r="233">
      <x:c r="F233" s="22"/>
      <x:c r="G233" s="22"/>
    </x:row>
    <x:row r="234">
      <x:c r="F234" s="22"/>
      <x:c r="G234" s="22"/>
    </x:row>
    <x:row r="235">
      <x:c r="F235" s="22"/>
      <x:c r="G235" s="22"/>
    </x:row>
    <x:row r="236">
      <x:c r="F236" s="22"/>
      <x:c r="G236" s="22"/>
    </x:row>
    <x:row r="237">
      <x:c r="F237" s="22"/>
      <x:c r="G237" s="22"/>
    </x:row>
    <x:row r="238">
      <x:c r="F238" s="22"/>
      <x:c r="G238" s="22"/>
    </x:row>
    <x:row r="239">
      <x:c r="F239" s="22"/>
      <x:c r="G239" s="22"/>
    </x:row>
    <x:row r="240">
      <x:c r="F240" s="22"/>
      <x:c r="G240" s="22"/>
    </x:row>
    <x:row r="241">
      <x:c r="F241" s="22"/>
      <x:c r="G241" s="22"/>
    </x:row>
    <x:row r="242">
      <x:c r="F242" s="22"/>
      <x:c r="G242" s="22"/>
    </x:row>
    <x:row r="243">
      <x:c r="F243" s="22"/>
      <x:c r="G243" s="22"/>
    </x:row>
    <x:row r="244">
      <x:c r="F244" s="22"/>
      <x:c r="G244" s="22"/>
    </x:row>
    <x:row r="245">
      <x:c r="F245" s="22"/>
      <x:c r="G245" s="22"/>
    </x:row>
    <x:row r="246">
      <x:c r="F246" s="22"/>
      <x:c r="G246" s="22"/>
    </x:row>
    <x:row r="247">
      <x:c r="F247" s="22"/>
      <x:c r="G247" s="22"/>
    </x:row>
    <x:row r="248">
      <x:c r="F248" s="22"/>
      <x:c r="G248" s="22"/>
    </x:row>
    <x:row r="249">
      <x:c r="F249" s="22"/>
      <x:c r="G249" s="22"/>
    </x:row>
    <x:row r="250">
      <x:c r="F250" s="22"/>
      <x:c r="G250" s="22"/>
    </x:row>
    <x:row r="251">
      <x:c r="F251" s="22"/>
      <x:c r="G251" s="22"/>
    </x:row>
    <x:row r="252">
      <x:c r="F252" s="22"/>
      <x:c r="G252" s="22"/>
    </x:row>
    <x:row r="253">
      <x:c r="F253" s="22"/>
      <x:c r="G253" s="22"/>
    </x:row>
    <x:row r="254">
      <x:c r="F254" s="22"/>
      <x:c r="G254" s="22"/>
    </x:row>
    <x:row r="255">
      <x:c r="F255" s="22"/>
      <x:c r="G255" s="22"/>
    </x:row>
    <x:row r="256">
      <x:c r="F256" s="22"/>
      <x:c r="G256" s="22"/>
    </x:row>
    <x:row r="257">
      <x:c r="F257" s="22"/>
      <x:c r="G257" s="22"/>
    </x:row>
    <x:row r="258">
      <x:c r="F258" s="22"/>
      <x:c r="G258" s="22"/>
    </x:row>
    <x:row r="259">
      <x:c r="F259" s="22"/>
      <x:c r="G259" s="22"/>
    </x:row>
    <x:row r="260">
      <x:c r="F260" s="22"/>
      <x:c r="G260" s="22"/>
    </x:row>
    <x:row r="261">
      <x:c r="F261" s="22"/>
      <x:c r="G261" s="22"/>
    </x:row>
    <x:row r="262">
      <x:c r="F262" s="22"/>
      <x:c r="G262" s="22"/>
    </x:row>
    <x:row r="263">
      <x:c r="F263" s="22"/>
      <x:c r="G263" s="22"/>
    </x:row>
    <x:row r="264">
      <x:c r="F264" s="22"/>
      <x:c r="G264" s="22"/>
    </x:row>
    <x:row r="265">
      <x:c r="F265" s="22"/>
      <x:c r="G265" s="22"/>
    </x:row>
    <x:row r="266">
      <x:c r="F266" s="22"/>
      <x:c r="G266" s="22"/>
    </x:row>
    <x:row r="267">
      <x:c r="F267" s="22"/>
      <x:c r="G267" s="22"/>
    </x:row>
    <x:row r="268">
      <x:c r="F268" s="22"/>
      <x:c r="G268" s="22"/>
    </x:row>
    <x:row r="269">
      <x:c r="F269" s="22"/>
      <x:c r="G269" s="22"/>
    </x:row>
    <x:row r="270">
      <x:c r="F270" s="22"/>
      <x:c r="G270" s="22"/>
    </x:row>
    <x:row r="271">
      <x:c r="F271" s="22"/>
      <x:c r="G271" s="22"/>
    </x:row>
    <x:row r="272">
      <x:c r="F272" s="22"/>
      <x:c r="G272" s="22"/>
    </x:row>
    <x:row r="273">
      <x:c r="F273" s="22"/>
      <x:c r="G273" s="22"/>
    </x:row>
    <x:row r="274">
      <x:c r="F274" s="22"/>
      <x:c r="G274" s="22"/>
    </x:row>
    <x:row r="275">
      <x:c r="F275" s="22"/>
      <x:c r="G275" s="22"/>
    </x:row>
    <x:row r="276">
      <x:c r="F276" s="22"/>
      <x:c r="G276" s="22"/>
    </x:row>
    <x:row r="277">
      <x:c r="F277" s="22"/>
      <x:c r="G277" s="22"/>
    </x:row>
    <x:row r="278">
      <x:c r="F278" s="22"/>
      <x:c r="G278" s="22"/>
    </x:row>
    <x:row r="279">
      <x:c r="F279" s="22"/>
      <x:c r="G279" s="22"/>
    </x:row>
    <x:row r="280">
      <x:c r="F280" s="22"/>
      <x:c r="G280" s="22"/>
    </x:row>
    <x:row r="281">
      <x:c r="F281" s="22"/>
      <x:c r="G281" s="22"/>
    </x:row>
    <x:row r="282">
      <x:c r="F282" s="22"/>
      <x:c r="G282" s="22"/>
    </x:row>
    <x:row r="283">
      <x:c r="F283" s="22"/>
      <x:c r="G283" s="22"/>
    </x:row>
    <x:row r="284">
      <x:c r="F284" s="22"/>
      <x:c r="G284" s="22"/>
    </x:row>
    <x:row r="285">
      <x:c r="F285" s="22"/>
      <x:c r="G285" s="22"/>
    </x:row>
    <x:row r="286">
      <x:c r="F286" s="22"/>
      <x:c r="G286" s="22"/>
    </x:row>
    <x:row r="287">
      <x:c r="F287" s="22"/>
      <x:c r="G287" s="22"/>
    </x:row>
    <x:row r="288">
      <x:c r="F288" s="22"/>
      <x:c r="G288" s="22"/>
    </x:row>
    <x:row r="289">
      <x:c r="F289" s="22"/>
      <x:c r="G289" s="22"/>
    </x:row>
    <x:row r="290">
      <x:c r="F290" s="22"/>
      <x:c r="G290" s="22"/>
    </x:row>
    <x:row r="291">
      <x:c r="F291" s="22"/>
      <x:c r="G291" s="22"/>
    </x:row>
    <x:row r="292">
      <x:c r="F292" s="22"/>
      <x:c r="G292" s="22"/>
    </x:row>
    <x:row r="293">
      <x:c r="F293" s="22"/>
      <x:c r="G293" s="22"/>
    </x:row>
    <x:row r="294">
      <x:c r="F294" s="22"/>
      <x:c r="G294" s="22"/>
    </x:row>
    <x:row r="295">
      <x:c r="F295" s="22"/>
      <x:c r="G295" s="22"/>
    </x:row>
    <x:row r="296">
      <x:c r="F296" s="22"/>
      <x:c r="G296" s="22"/>
    </x:row>
    <x:row r="297">
      <x:c r="F297" s="22"/>
      <x:c r="G297" s="22"/>
    </x:row>
    <x:row r="298">
      <x:c r="F298" s="22"/>
      <x:c r="G298" s="22"/>
    </x:row>
    <x:row r="299">
      <x:c r="F299" s="22"/>
      <x:c r="G299" s="22"/>
    </x:row>
    <x:row r="300">
      <x:c r="F300" s="22"/>
      <x:c r="G300" s="22"/>
    </x:row>
  </x:sheetData>
  <x:pageMargins left="0.7" right="0.7" top="0.75" bottom="0.75" header="0.3" footer="0.3"/>
  <x:tableParts count="1">
    <x:tablePart xmlns:r="http://schemas.openxmlformats.org/officeDocument/2006/relationships" r:id="R5a1a3038756548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22" hidden="0" customWidth="1"/>
    <x:col min="5" max="5" width="38" hidden="0" customWidth="1"/>
    <x:col min="6" max="6" width="16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62" hidden="0" customWidth="1"/>
  </x:cols>
  <x:sheetData>
    <x:row r="1">
      <x:c r="A1" s="5" t="str">
        <x:v>comparison_id</x:v>
      </x:c>
      <x:c r="B1" s="5" t="str">
        <x:v>poll_id</x:v>
      </x:c>
      <x:c r="C1" s="5" t="str">
        <x:v>election_id</x:v>
      </x:c>
      <x:c r="D1" s="5" t="str">
        <x:v>comparison_variant</x:v>
      </x:c>
      <x:c r="E1" s="5" t="str">
        <x:v>aggregation_rule</x:v>
      </x:c>
      <x:c r="F1" s="5" t="str">
        <x:v>source_reported_sse</x:v>
      </x:c>
      <x:c r="G1" s="5" t="str">
        <x:v>computed_sse</x:v>
      </x:c>
      <x:c r="H1" s="5" t="str">
        <x:v>mae</x:v>
      </x:c>
      <x:c r="I1" s="5" t="str">
        <x:v>rmse</x:v>
      </x:c>
      <x:c r="J1" s="5" t="str">
        <x:v>party_count</x:v>
      </x:c>
      <x:c r="K1" s="5" t="str">
        <x:v>source_url</x:v>
      </x:c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C001</x:v>
      </x:c>
      <x:c r="B2" t="str">
        <x:v>P001</x:v>
      </x:c>
      <x:c r="C2" t="str">
        <x:v>DE_RP_2026</x:v>
      </x:c>
      <x:c r="D2" t="str">
        <x:v>standard</x:v>
      </x:c>
      <x:c r="E2" t="str">
        <x:v>published categories</x:v>
      </x:c>
      <x:c r="F2" s="24" t="n">
        <x:v>7.48</x:v>
      </x:c>
      <x:c r="G2" s="24" t="n">
        <x:f>SUMIF(Poll_Party!$A:$A,A2,Poll_Party!$I:$I)</x:f>
        <x:v>7.140000000000001</x:v>
      </x:c>
      <x:c r="H2" s="24" t="n">
        <x:f>SUMIF(Poll_Party!$A:$A,A2,Poll_Party!$H:$H)/COUNTIF(Poll_Party!$A:$A,A2)</x:f>
        <x:v>0.7714285714285715</x:v>
      </x:c>
      <x:c r="I2" s="24" t="n">
        <x:f>SQRT(SUMIF(Poll_Party!$A:$A,A2,Poll_Party!$I:$I)/COUNTIF(Poll_Party!$A:$A,A2))</x:f>
        <x:v>1.0099504938362078</x:v>
      </x:c>
      <x:c r="J2" t="n">
        <x:v>7</x:v>
      </x:c>
      <x:c r="K2" t="str">
        <x:v>https://www.marktforschung.de/marktforschung/a/erneutes-double-fuer-die-forschungsgruppe-wahlen/</x:v>
      </x:c>
    </x:row>
    <x:row r="3">
      <x:c r="A3" t="str">
        <x:v>C002</x:v>
      </x:c>
      <x:c r="B3" t="str">
        <x:v>P002</x:v>
      </x:c>
      <x:c r="C3" t="str">
        <x:v>DE_RP_2026</x:v>
      </x:c>
      <x:c r="D3" t="str">
        <x:v>standard</x:v>
      </x:c>
      <x:c r="E3" t="str">
        <x:v>published categories</x:v>
      </x:c>
      <x:c r="F3" s="24" t="n">
        <x:v>9.48</x:v>
      </x:c>
      <x:c r="G3" s="24" t="n">
        <x:f>SUMIF(Poll_Party!$A:$A,A3,Poll_Party!$I:$I)</x:f>
        <x:v>9.140000000000006</x:v>
      </x:c>
      <x:c r="H3" s="24" t="n">
        <x:f>SUMIF(Poll_Party!$A:$A,A3,Poll_Party!$H:$H)/COUNTIF(Poll_Party!$A:$A,A3)</x:f>
        <x:v>0.7714285714285715</x:v>
      </x:c>
      <x:c r="I3" s="24" t="n">
        <x:f>SQRT(SUMIF(Poll_Party!$A:$A,A3,Poll_Party!$I:$I)/COUNTIF(Poll_Party!$A:$A,A3))</x:f>
        <x:v>1.1426785574754987</x:v>
      </x:c>
      <x:c r="J3" t="n">
        <x:v>7</x:v>
      </x:c>
      <x:c r="K3" t="str">
        <x:v>https://www.marktforschung.de/marktforschung/a/erneutes-double-fuer-die-forschungsgruppe-wahlen/</x:v>
      </x:c>
    </x:row>
    <x:row r="4">
      <x:c r="A4" t="str">
        <x:v>C003</x:v>
      </x:c>
      <x:c r="B4" t="str">
        <x:v>P003</x:v>
      </x:c>
      <x:c r="C4" t="str">
        <x:v>DE_RP_2026</x:v>
      </x:c>
      <x:c r="D4" t="str">
        <x:v>standard</x:v>
      </x:c>
      <x:c r="E4" t="str">
        <x:v>published categories</x:v>
      </x:c>
      <x:c r="F4" s="24" t="n">
        <x:v>13.88</x:v>
      </x:c>
      <x:c r="G4" s="24" t="n">
        <x:f>SUMIF(Poll_Party!$A:$A,A4,Poll_Party!$I:$I)</x:f>
        <x:v>14.24</x:v>
      </x:c>
      <x:c r="H4" s="24" t="n">
        <x:f>SUMIF(Poll_Party!$A:$A,A4,Poll_Party!$H:$H)/COUNTIF(Poll_Party!$A:$A,A4)</x:f>
        <x:v>1.2</x:v>
      </x:c>
      <x:c r="I4" s="24" t="n">
        <x:f>SQRT(SUMIF(Poll_Party!$A:$A,A4,Poll_Party!$I:$I)/COUNTIF(Poll_Party!$A:$A,A4))</x:f>
        <x:v>1.426283882782707</x:v>
      </x:c>
      <x:c r="J4" t="n">
        <x:v>7</x:v>
      </x:c>
      <x:c r="K4" t="str">
        <x:v>https://www.marktforschung.de/marktforschung/a/erneutes-double-fuer-die-forschungsgruppe-wahlen/</x:v>
      </x:c>
    </x:row>
    <x:row r="5">
      <x:c r="A5" t="str">
        <x:v>C004</x:v>
      </x:c>
      <x:c r="B5" t="str">
        <x:v>P004</x:v>
      </x:c>
      <x:c r="C5" t="str">
        <x:v>DE_RP_2026</x:v>
      </x:c>
      <x:c r="D5" t="str">
        <x:v>standard</x:v>
      </x:c>
      <x:c r="E5" t="str">
        <x:v>published categories</x:v>
      </x:c>
      <x:c r="F5" s="24" t="n">
        <x:v>15.08</x:v>
      </x:c>
      <x:c r="G5" s="24" t="n">
        <x:f>SUMIF(Poll_Party!$A:$A,A5,Poll_Party!$I:$I)</x:f>
        <x:v>15.440000000000005</x:v>
      </x:c>
      <x:c r="H5" s="24" t="n">
        <x:f>SUMIF(Poll_Party!$A:$A,A5,Poll_Party!$H:$H)/COUNTIF(Poll_Party!$A:$A,A5)</x:f>
        <x:v>1.3142857142857145</x:v>
      </x:c>
      <x:c r="I5" s="24" t="n">
        <x:f>SQRT(SUMIF(Poll_Party!$A:$A,A5,Poll_Party!$I:$I)/COUNTIF(Poll_Party!$A:$A,A5))</x:f>
        <x:v>1.4851647335276603</x:v>
      </x:c>
      <x:c r="J5" t="n">
        <x:v>7</x:v>
      </x:c>
      <x:c r="K5" t="str">
        <x:v>https://www.marktforschung.de/marktforschung/a/erneutes-double-fuer-die-forschungsgruppe-wahlen/</x:v>
      </x:c>
    </x:row>
    <x:row r="6">
      <x:c r="A6" t="str">
        <x:v>C005</x:v>
      </x:c>
      <x:c r="B6" t="str">
        <x:v>P005</x:v>
      </x:c>
      <x:c r="C6" t="str">
        <x:v>DE_HH_2025</x:v>
      </x:c>
      <x:c r="D6" t="str">
        <x:v>published_set</x:v>
      </x:c>
      <x:c r="E6" t="str">
        <x:v>FDP and BSW aggregated into Others</x:v>
      </x:c>
      <x:c r="F6" s="24"/>
      <x:c r="G6" s="24" t="n">
        <x:f>SUMIF(Poll_Party!$A:$A,A6,Poll_Party!$I:$I)</x:f>
        <x:v>11.560000000000004</x:v>
      </x:c>
      <x:c r="H6" s="24" t="n">
        <x:f>SUMIF(Poll_Party!$A:$A,A6,Poll_Party!$H:$H)/COUNTIF(Poll_Party!$A:$A,A6)</x:f>
        <x:v>1.142857142857143</x:v>
      </x:c>
      <x:c r="I6" s="24" t="n">
        <x:f>SQRT(SUMIF(Poll_Party!$A:$A,A6,Poll_Party!$I:$I)/COUNTIF(Poll_Party!$A:$A,A6))</x:f>
        <x:v>1.2850792082313727</x:v>
      </x:c>
      <x:c r="J6" t="n">
        <x:v>7</x:v>
      </x:c>
      <x:c r="K6" t="str">
        <x:v>https://www.marktforschung.de/marktforschung/a/buergerschaftswahl-hamburg-nicht-immer-sieht-man-mit-dem-zweiten-besser/</x:v>
      </x:c>
    </x:row>
    <x:row r="7">
      <x:c r="A7" t="str">
        <x:v>C006</x:v>
      </x:c>
      <x:c r="B7" t="str">
        <x:v>P006</x:v>
      </x:c>
      <x:c r="C7" t="str">
        <x:v>DE_HH_2025</x:v>
      </x:c>
      <x:c r="D7" t="str">
        <x:v>published_set</x:v>
      </x:c>
      <x:c r="E7" t="str">
        <x:v>Volt aggregated into Others</x:v>
      </x:c>
      <x:c r="F7" s="24"/>
      <x:c r="G7" s="24" t="n">
        <x:f>SUMIF(Poll_Party!$A:$A,A7,Poll_Party!$I:$I)</x:f>
        <x:v>33.92000000000001</x:v>
      </x:c>
      <x:c r="H7" s="24" t="n">
        <x:f>SUMIF(Poll_Party!$A:$A,A7,Poll_Party!$H:$H)/COUNTIF(Poll_Party!$A:$A,A7)</x:f>
        <x:v>1.8</x:v>
      </x:c>
      <x:c r="I7" s="24" t="n">
        <x:f>SQRT(SUMIF(Poll_Party!$A:$A,A7,Poll_Party!$I:$I)/COUNTIF(Poll_Party!$A:$A,A7))</x:f>
        <x:v>2.0591260281974004</x:v>
      </x:c>
      <x:c r="J7" t="n">
        <x:v>8</x:v>
      </x:c>
      <x:c r="K7" t="str">
        <x:v>https://www.marktforschung.de/marktforschung/a/buergerschaftswahl-hamburg-nicht-immer-sieht-man-mit-dem-zweiten-besser/</x:v>
      </x:c>
    </x:row>
    <x:row r="8">
      <x:c r="A8" t="str">
        <x:v>C007</x:v>
      </x:c>
      <x:c r="B8" t="str">
        <x:v>P007</x:v>
      </x:c>
      <x:c r="C8" t="str">
        <x:v>DE_HH_2025</x:v>
      </x:c>
      <x:c r="D8" t="str">
        <x:v>published_set</x:v>
      </x:c>
      <x:c r="E8" t="str">
        <x:v>all 8 named parties plus Others</x:v>
      </x:c>
      <x:c r="F8" s="24"/>
      <x:c r="G8" s="24" t="n">
        <x:f>SUMIF(Poll_Party!$A:$A,A8,Poll_Party!$I:$I)</x:f>
        <x:v>23.240000000000002</x:v>
      </x:c>
      <x:c r="H8" s="24" t="n">
        <x:f>SUMIF(Poll_Party!$A:$A,A8,Poll_Party!$H:$H)/COUNTIF(Poll_Party!$A:$A,A8)</x:f>
        <x:v>1.3777777777777775</x:v>
      </x:c>
      <x:c r="I8" s="24" t="n">
        <x:f>SQRT(SUMIF(Poll_Party!$A:$A,A8,Poll_Party!$I:$I)/COUNTIF(Poll_Party!$A:$A,A8))</x:f>
        <x:v>1.6069294390925268</x:v>
      </x:c>
      <x:c r="J8" t="n">
        <x:v>9</x:v>
      </x:c>
      <x:c r="K8" t="str">
        <x:v>https://www.marktforschung.de/marktforschung/a/buergerschaftswahl-hamburg-nicht-immer-sieht-man-mit-dem-zweiten-besser/</x:v>
      </x:c>
    </x:row>
    <x:row r="9">
      <x:c r="A9" t="str">
        <x:v>C008</x:v>
      </x:c>
      <x:c r="B9" t="str">
        <x:v>P008</x:v>
      </x:c>
      <x:c r="C9" t="str">
        <x:v>DE_HH_2025</x:v>
      </x:c>
      <x:c r="D9" t="str">
        <x:v>published_set</x:v>
      </x:c>
      <x:c r="E9" t="str">
        <x:v>Civey source confirms ~2,000 respondents; Volt aggregated into Others</x:v>
      </x:c>
      <x:c r="F9" s="24" t="n">
        <x:v>20.92</x:v>
      </x:c>
      <x:c r="G9" s="24" t="n">
        <x:f>SUMIF(Poll_Party!$A:$A,A9,Poll_Party!$I:$I)</x:f>
        <x:v>20.92</x:v>
      </x:c>
      <x:c r="H9" s="24" t="n">
        <x:f>SUMIF(Poll_Party!$A:$A,A9,Poll_Party!$H:$H)/COUNTIF(Poll_Party!$A:$A,A9)</x:f>
        <x:v>1.4999999999999998</x:v>
      </x:c>
      <x:c r="I9" s="24" t="n">
        <x:f>SQRT(SUMIF(Poll_Party!$A:$A,A9,Poll_Party!$I:$I)/COUNTIF(Poll_Party!$A:$A,A9))</x:f>
        <x:v>1.617096162879623</x:v>
      </x:c>
      <x:c r="J9" t="n">
        <x:v>8</x:v>
      </x:c>
      <x:c r="K9" t="str">
        <x:v>https://www.marktforschung.de/marktforschung/a/buergerschaftswahl-hamburg-nicht-immer-sieht-man-mit-dem-zweiten-besser/</x:v>
      </x:c>
    </x:row>
    <x:row r="10">
      <x:c r="A10" t="str">
        <x:v>C009</x:v>
      </x:c>
      <x:c r="B10" t="str">
        <x:v>P009</x:v>
      </x:c>
      <x:c r="C10" t="str">
        <x:v>DE_HH_2025</x:v>
      </x:c>
      <x:c r="D10" t="str">
        <x:v>published_set</x:v>
      </x:c>
      <x:c r="E10" t="str">
        <x:v>older January fieldwork</x:v>
      </x:c>
      <x:c r="F10" s="24"/>
      <x:c r="G10" s="24" t="n">
        <x:f>SUMIF(Poll_Party!$A:$A,A10,Poll_Party!$I:$I)</x:f>
        <x:v>61.44</x:v>
      </x:c>
      <x:c r="H10" s="24" t="n">
        <x:f>SUMIF(Poll_Party!$A:$A,A10,Poll_Party!$H:$H)/COUNTIF(Poll_Party!$A:$A,A10)</x:f>
        <x:v>2.0444444444444443</x:v>
      </x:c>
      <x:c r="I10" s="24" t="n">
        <x:f>SQRT(SUMIF(Poll_Party!$A:$A,A10,Poll_Party!$I:$I)/COUNTIF(Poll_Party!$A:$A,A10))</x:f>
        <x:v>2.612789058968723</x:v>
      </x:c>
      <x:c r="J10" t="n">
        <x:v>9</x:v>
      </x:c>
      <x:c r="K10" t="str">
        <x:v>https://www.marktforschung.de/marktforschung/a/buergerschaftswahl-hamburg-nicht-immer-sieht-man-mit-dem-zweiten-besser/</x:v>
      </x:c>
    </x:row>
    <x:row r="11">
      <x:c r="A11" t="str">
        <x:v>C010</x:v>
      </x:c>
      <x:c r="B11" t="str">
        <x:v>P010</x:v>
      </x:c>
      <x:c r="C11" t="str">
        <x:v>DE_BB_2024</x:v>
      </x:c>
      <x:c r="D11" t="str">
        <x:v>standard</x:v>
      </x:c>
      <x:c r="E11" t="str">
        <x:v>published categories</x:v>
      </x:c>
      <x:c r="F11" s="24" t="n">
        <x:v>24.432</x:v>
      </x:c>
      <x:c r="G11" s="24" t="n">
        <x:f>SUMIF(Poll_Party!$A:$A,A11,Poll_Party!$I:$I)</x:f>
        <x:v>23.37999999999999</x:v>
      </x:c>
      <x:c r="H11" s="24" t="n">
        <x:f>SUMIF(Poll_Party!$A:$A,A11,Poll_Party!$H:$H)/COUNTIF(Poll_Party!$A:$A,A11)</x:f>
        <x:v>1.2249999999999999</x:v>
      </x:c>
      <x:c r="I11" s="24" t="n">
        <x:f>SQRT(SUMIF(Poll_Party!$A:$A,A11,Poll_Party!$I:$I)/COUNTIF(Poll_Party!$A:$A,A11))</x:f>
        <x:v>1.7095320997278753</x:v>
      </x:c>
      <x:c r="J11" t="n">
        <x:v>8</x:v>
      </x:c>
      <x:c r="K11" t="str">
        <x:v>https://www.marktforschung.de/marktforschung/a/eine-dynamik-in-brandenburg-die-nicht-mehr-erfasst-wurde/</x:v>
      </x:c>
    </x:row>
    <x:row r="12">
      <x:c r="A12" t="str">
        <x:v>C011</x:v>
      </x:c>
      <x:c r="B12" t="str">
        <x:v>P011</x:v>
      </x:c>
      <x:c r="C12" t="str">
        <x:v>DE_BB_2024</x:v>
      </x:c>
      <x:c r="D12" t="str">
        <x:v>standard</x:v>
      </x:c>
      <x:c r="E12" t="str">
        <x:v>published categories</x:v>
      </x:c>
      <x:c r="F12" s="24" t="n">
        <x:v>34.292</x:v>
      </x:c>
      <x:c r="G12" s="24" t="n">
        <x:f>SUMIF(Poll_Party!$A:$A,A12,Poll_Party!$I:$I)</x:f>
        <x:v>32.279999999999994</x:v>
      </x:c>
      <x:c r="H12" s="24" t="n">
        <x:f>SUMIF(Poll_Party!$A:$A,A12,Poll_Party!$H:$H)/COUNTIF(Poll_Party!$A:$A,A12)</x:f>
        <x:v>1.2499999999999998</x:v>
      </x:c>
      <x:c r="I12" s="24" t="n">
        <x:f>SQRT(SUMIF(Poll_Party!$A:$A,A12,Poll_Party!$I:$I)/COUNTIF(Poll_Party!$A:$A,A12))</x:f>
        <x:v>2.0087309426600664</x:v>
      </x:c>
      <x:c r="J12" t="n">
        <x:v>8</x:v>
      </x:c>
      <x:c r="K12" t="str">
        <x:v>https://www.marktforschung.de/marktforschung/a/eine-dynamik-in-brandenburg-die-nicht-mehr-erfasst-wurde/</x:v>
      </x:c>
    </x:row>
    <x:row r="13">
      <x:c r="A13" t="str">
        <x:v>C012</x:v>
      </x:c>
      <x:c r="B13" t="str">
        <x:v>P012</x:v>
      </x:c>
      <x:c r="C13" t="str">
        <x:v>DE_BB_2024</x:v>
      </x:c>
      <x:c r="D13" t="str">
        <x:v>standard</x:v>
      </x:c>
      <x:c r="E13" t="str">
        <x:v>published categories</x:v>
      </x:c>
      <x:c r="F13" s="24" t="n">
        <x:v>49.372</x:v>
      </x:c>
      <x:c r="G13" s="24" t="n">
        <x:f>SUMIF(Poll_Party!$A:$A,A13,Poll_Party!$I:$I)</x:f>
        <x:v>46.379999999999995</x:v>
      </x:c>
      <x:c r="H13" s="24" t="n">
        <x:f>SUMIF(Poll_Party!$A:$A,A13,Poll_Party!$H:$H)/COUNTIF(Poll_Party!$A:$A,A13)</x:f>
        <x:v>1.7249999999999999</x:v>
      </x:c>
      <x:c r="I13" s="24" t="n">
        <x:f>SQRT(SUMIF(Poll_Party!$A:$A,A13,Poll_Party!$I:$I)/COUNTIF(Poll_Party!$A:$A,A13))</x:f>
        <x:v>2.4077998255669013</x:v>
      </x:c>
      <x:c r="J13" t="n">
        <x:v>8</x:v>
      </x:c>
      <x:c r="K13" t="str">
        <x:v>https://www.marktforschung.de/marktforschung/a/eine-dynamik-in-brandenburg-die-nicht-mehr-erfasst-wurde/</x:v>
      </x:c>
    </x:row>
    <x:row r="14">
      <x:c r="A14" t="str">
        <x:v>C013</x:v>
      </x:c>
      <x:c r="B14" t="str">
        <x:v>P013</x:v>
      </x:c>
      <x:c r="C14" t="str">
        <x:v>DE_BB_2024</x:v>
      </x:c>
      <x:c r="D14" t="str">
        <x:v>standard</x:v>
      </x:c>
      <x:c r="E14" t="str">
        <x:v>published categories</x:v>
      </x:c>
      <x:c r="F14" s="24" t="n">
        <x:v>55.652</x:v>
      </x:c>
      <x:c r="G14" s="24" t="n">
        <x:f>SUMIF(Poll_Party!$A:$A,A14,Poll_Party!$I:$I)</x:f>
        <x:v>54.67999999999998</x:v>
      </x:c>
      <x:c r="H14" s="24" t="n">
        <x:f>SUMIF(Poll_Party!$A:$A,A14,Poll_Party!$H:$H)/COUNTIF(Poll_Party!$A:$A,A14)</x:f>
        <x:v>1.7499999999999998</x:v>
      </x:c>
      <x:c r="I14" s="24" t="n">
        <x:f>SQRT(SUMIF(Poll_Party!$A:$A,A14,Poll_Party!$I:$I)/COUNTIF(Poll_Party!$A:$A,A14))</x:f>
        <x:v>2.614383292480274</x:v>
      </x:c>
      <x:c r="J14" t="n">
        <x:v>8</x:v>
      </x:c>
      <x:c r="K14" t="str">
        <x:v>https://www.marktforschung.de/marktforschung/a/eine-dynamik-in-brandenburg-die-nicht-mehr-erfasst-wurde/</x:v>
      </x:c>
    </x:row>
    <x:row r="15">
      <x:c r="A15" t="str">
        <x:v>C014</x:v>
      </x:c>
      <x:c r="B15" t="str">
        <x:v>P014</x:v>
      </x:c>
      <x:c r="C15" t="str">
        <x:v>DE_TH_2024</x:v>
      </x:c>
      <x:c r="D15" t="str">
        <x:v>standard</x:v>
      </x:c>
      <x:c r="E15" t="str">
        <x:v>published categories</x:v>
      </x:c>
      <x:c r="F15" s="24" t="n">
        <x:v>13.06</x:v>
      </x:c>
      <x:c r="G15" s="24" t="n">
        <x:f>SUMIF(Poll_Party!$A:$A,A15,Poll_Party!$I:$I)</x:f>
        <x:v>12.619999999999985</x:v>
      </x:c>
      <x:c r="H15" s="24" t="n">
        <x:f>SUMIF(Poll_Party!$A:$A,A15,Poll_Party!$H:$H)/COUNTIF(Poll_Party!$A:$A,A15)</x:f>
        <x:v>1.0285714285714282</x:v>
      </x:c>
      <x:c r="I15" s="24" t="n">
        <x:f>SQRT(SUMIF(Poll_Party!$A:$A,A15,Poll_Party!$I:$I)/COUNTIF(Poll_Party!$A:$A,A15))</x:f>
        <x:v>1.342705158572477</x:v>
      </x:c>
      <x:c r="J15" t="n">
        <x:v>7</x:v>
      </x:c>
      <x:c r="K15" t="str">
        <x:v>https://www.marktforschung.de/marktforschung/a/thueringen-ein-schwierigeres-pflaster-fuer-meinungsforscher/</x:v>
      </x:c>
    </x:row>
    <x:row r="16">
      <x:c r="A16" t="str">
        <x:v>C015</x:v>
      </x:c>
      <x:c r="B16" t="str">
        <x:v>P015</x:v>
      </x:c>
      <x:c r="C16" t="str">
        <x:v>DE_TH_2024</x:v>
      </x:c>
      <x:c r="D16" t="str">
        <x:v>standard</x:v>
      </x:c>
      <x:c r="E16" t="str">
        <x:v>published categories</x:v>
      </x:c>
      <x:c r="F16" s="24" t="n">
        <x:v>14.46</x:v>
      </x:c>
      <x:c r="G16" s="24" t="n">
        <x:f>SUMIF(Poll_Party!$A:$A,A16,Poll_Party!$I:$I)</x:f>
        <x:v>14.019999999999989</x:v>
      </x:c>
      <x:c r="H16" s="24" t="n">
        <x:f>SUMIF(Poll_Party!$A:$A,A16,Poll_Party!$H:$H)/COUNTIF(Poll_Party!$A:$A,A16)</x:f>
        <x:v>1.2285714285714282</x:v>
      </x:c>
      <x:c r="I16" s="24" t="n">
        <x:f>SQRT(SUMIF(Poll_Party!$A:$A,A16,Poll_Party!$I:$I)/COUNTIF(Poll_Party!$A:$A,A16))</x:f>
        <x:v>1.4152233544063428</x:v>
      </x:c>
      <x:c r="J16" t="n">
        <x:v>7</x:v>
      </x:c>
      <x:c r="K16" t="str">
        <x:v>https://www.marktforschung.de/marktforschung/a/thueringen-ein-schwierigeres-pflaster-fuer-meinungsforscher/</x:v>
      </x:c>
    </x:row>
    <x:row r="17">
      <x:c r="A17" t="str">
        <x:v>C016</x:v>
      </x:c>
      <x:c r="B17" t="str">
        <x:v>P016</x:v>
      </x:c>
      <x:c r="C17" t="str">
        <x:v>DE_TH_2024</x:v>
      </x:c>
      <x:c r="D17" t="str">
        <x:v>standard</x:v>
      </x:c>
      <x:c r="E17" t="str">
        <x:v>published categories</x:v>
      </x:c>
      <x:c r="F17" s="24" t="n">
        <x:v>18.86</x:v>
      </x:c>
      <x:c r="G17" s="24" t="n">
        <x:f>SUMIF(Poll_Party!$A:$A,A17,Poll_Party!$I:$I)</x:f>
        <x:v>18.41999999999998</x:v>
      </x:c>
      <x:c r="H17" s="24" t="n">
        <x:f>SUMIF(Poll_Party!$A:$A,A17,Poll_Party!$H:$H)/COUNTIF(Poll_Party!$A:$A,A17)</x:f>
        <x:v>1.2285714285714282</x:v>
      </x:c>
      <x:c r="I17" s="24" t="n">
        <x:f>SQRT(SUMIF(Poll_Party!$A:$A,A17,Poll_Party!$I:$I)/COUNTIF(Poll_Party!$A:$A,A17))</x:f>
        <x:v>1.6221678616680113</x:v>
      </x:c>
      <x:c r="J17" t="n">
        <x:v>7</x:v>
      </x:c>
      <x:c r="K17" t="str">
        <x:v>https://www.marktforschung.de/marktforschung/a/thueringen-ein-schwierigeres-pflaster-fuer-meinungsforscher/</x:v>
      </x:c>
    </x:row>
    <x:row r="18">
      <x:c r="A18" t="str">
        <x:v>C017</x:v>
      </x:c>
      <x:c r="B18" t="str">
        <x:v>P017</x:v>
      </x:c>
      <x:c r="C18" t="str">
        <x:v>DE_TH_2024</x:v>
      </x:c>
      <x:c r="D18" t="str">
        <x:v>standard</x:v>
      </x:c>
      <x:c r="E18" t="str">
        <x:v>published categories</x:v>
      </x:c>
      <x:c r="F18" s="24" t="n">
        <x:v>22.86</x:v>
      </x:c>
      <x:c r="G18" s="24" t="n">
        <x:f>SUMIF(Poll_Party!$A:$A,A18,Poll_Party!$I:$I)</x:f>
        <x:v>18.01999999999998</x:v>
      </x:c>
      <x:c r="H18" s="24" t="n">
        <x:f>SUMIF(Poll_Party!$A:$A,A18,Poll_Party!$H:$H)/COUNTIF(Poll_Party!$A:$A,A18)</x:f>
        <x:v>0.9999999999999997</x:v>
      </x:c>
      <x:c r="I18" s="24" t="n">
        <x:f>SQRT(SUMIF(Poll_Party!$A:$A,A18,Poll_Party!$I:$I)/COUNTIF(Poll_Party!$A:$A,A18))</x:f>
        <x:v>1.604458074954192</x:v>
      </x:c>
      <x:c r="J18" t="n">
        <x:v>7</x:v>
      </x:c>
      <x:c r="K18" t="str">
        <x:v>https://www.marktforschung.de/marktforschung/a/thueringen-ein-schwierigeres-pflaster-fuer-meinungsforscher/</x:v>
      </x:c>
    </x:row>
    <x:row r="19">
      <x:c r="A19" t="str">
        <x:v>C018</x:v>
      </x:c>
      <x:c r="B19" t="str">
        <x:v>P018</x:v>
      </x:c>
      <x:c r="C19" t="str">
        <x:v>DE_TH_2024</x:v>
      </x:c>
      <x:c r="D19" t="str">
        <x:v>standard</x:v>
      </x:c>
      <x:c r="E19" t="str">
        <x:v>published categories</x:v>
      </x:c>
      <x:c r="F19" s="24" t="n">
        <x:v>33.46</x:v>
      </x:c>
      <x:c r="G19" s="24" t="n">
        <x:f>SUMIF(Poll_Party!$A:$A,A19,Poll_Party!$I:$I)</x:f>
        <x:v>19.819999999999993</x:v>
      </x:c>
      <x:c r="H19" s="24" t="n">
        <x:f>SUMIF(Poll_Party!$A:$A,A19,Poll_Party!$H:$H)/COUNTIF(Poll_Party!$A:$A,A19)</x:f>
        <x:v>1.3142857142857138</x:v>
      </x:c>
      <x:c r="I19" s="24" t="n">
        <x:f>SQRT(SUMIF(Poll_Party!$A:$A,A19,Poll_Party!$I:$I)/COUNTIF(Poll_Party!$A:$A,A19))</x:f>
        <x:v>1.682684929340181</x:v>
      </x:c>
      <x:c r="J19" t="n">
        <x:v>7</x:v>
      </x:c>
      <x:c r="K19" t="str">
        <x:v>https://www.marktforschung.de/marktforschung/a/thueringen-ein-schwierigeres-pflaster-fuer-meinungsforscher/</x:v>
      </x:c>
    </x:row>
    <x:row r="20">
      <x:c r="A20" t="str">
        <x:v>C019</x:v>
      </x:c>
      <x:c r="B20" t="str">
        <x:v>P019</x:v>
      </x:c>
      <x:c r="C20" t="str">
        <x:v>DE_SN_2024</x:v>
      </x:c>
      <x:c r="D20" t="str">
        <x:v>standard</x:v>
      </x:c>
      <x:c r="E20" t="str">
        <x:v>published categories</x:v>
      </x:c>
      <x:c r="F20" s="24" t="n">
        <x:v>4.4</x:v>
      </x:c>
      <x:c r="G20" s="24" t="n">
        <x:f>SUMIF(Poll_Party!$A:$A,A20,Poll_Party!$I:$I)</x:f>
        <x:v>4.360000000000005</x:v>
      </x:c>
      <x:c r="H20" s="24" t="n">
        <x:f>SUMIF(Poll_Party!$A:$A,A20,Poll_Party!$H:$H)/COUNTIF(Poll_Party!$A:$A,A20)</x:f>
        <x:v>0.6571428571428575</x:v>
      </x:c>
      <x:c r="I20" s="24" t="n">
        <x:f>SQRT(SUMIF(Poll_Party!$A:$A,A20,Poll_Party!$I:$I)/COUNTIF(Poll_Party!$A:$A,A20))</x:f>
        <x:v>0.7892129895390366</x:v>
      </x:c>
      <x:c r="J20" t="n">
        <x:v>7</x:v>
      </x:c>
      <x:c r="K20" t="str">
        <x:v>https://www.marktforschung.de/marktforschung/a/forschungsgruppe-wahlen-holt-das-double-in-sachsen/</x:v>
      </x:c>
    </x:row>
    <x:row r="21">
      <x:c r="A21" t="str">
        <x:v>C020</x:v>
      </x:c>
      <x:c r="B21" t="str">
        <x:v>P020</x:v>
      </x:c>
      <x:c r="C21" t="str">
        <x:v>DE_SN_2024</x:v>
      </x:c>
      <x:c r="D21" t="str">
        <x:v>standard</x:v>
      </x:c>
      <x:c r="E21" t="str">
        <x:v>published categories</x:v>
      </x:c>
      <x:c r="F21" s="24" t="n">
        <x:v>5.2</x:v>
      </x:c>
      <x:c r="G21" s="24" t="n">
        <x:f>SUMIF(Poll_Party!$A:$A,A21,Poll_Party!$I:$I)</x:f>
        <x:v>5.159999999999995</x:v>
      </x:c>
      <x:c r="H21" s="24" t="n">
        <x:f>SUMIF(Poll_Party!$A:$A,A21,Poll_Party!$H:$H)/COUNTIF(Poll_Party!$A:$A,A21)</x:f>
        <x:v>0.7428571428571423</x:v>
      </x:c>
      <x:c r="I21" s="24" t="n">
        <x:f>SQRT(SUMIF(Poll_Party!$A:$A,A21,Poll_Party!$I:$I)/COUNTIF(Poll_Party!$A:$A,A21))</x:f>
        <x:v>0.8585702400752407</x:v>
      </x:c>
      <x:c r="J21" t="n">
        <x:v>7</x:v>
      </x:c>
      <x:c r="K21" t="str">
        <x:v>https://www.marktforschung.de/marktforschung/a/forschungsgruppe-wahlen-holt-das-double-in-sachsen/</x:v>
      </x:c>
    </x:row>
    <x:row r="22">
      <x:c r="A22" t="str">
        <x:v>C021</x:v>
      </x:c>
      <x:c r="B22" t="str">
        <x:v>P021</x:v>
      </x:c>
      <x:c r="C22" t="str">
        <x:v>DE_SN_2024</x:v>
      </x:c>
      <x:c r="D22" t="str">
        <x:v>standard</x:v>
      </x:c>
      <x:c r="E22" t="str">
        <x:v>published categories</x:v>
      </x:c>
      <x:c r="F22" s="24" t="n">
        <x:v>5.2</x:v>
      </x:c>
      <x:c r="G22" s="24" t="n">
        <x:f>SUMIF(Poll_Party!$A:$A,A22,Poll_Party!$I:$I)</x:f>
        <x:v>5.160000000000004</x:v>
      </x:c>
      <x:c r="H22" s="24" t="n">
        <x:f>SUMIF(Poll_Party!$A:$A,A22,Poll_Party!$H:$H)/COUNTIF(Poll_Party!$A:$A,A22)</x:f>
        <x:v>0.7142857142857144</x:v>
      </x:c>
      <x:c r="I22" s="24" t="n">
        <x:f>SQRT(SUMIF(Poll_Party!$A:$A,A22,Poll_Party!$I:$I)/COUNTIF(Poll_Party!$A:$A,A22))</x:f>
        <x:v>0.8585702400752414</x:v>
      </x:c>
      <x:c r="J22" t="n">
        <x:v>7</x:v>
      </x:c>
      <x:c r="K22" t="str">
        <x:v>https://www.marktforschung.de/marktforschung/a/forschungsgruppe-wahlen-holt-das-double-in-sachsen/</x:v>
      </x:c>
    </x:row>
    <x:row r="23">
      <x:c r="A23" t="str">
        <x:v>C022</x:v>
      </x:c>
      <x:c r="B23" t="str">
        <x:v>P022</x:v>
      </x:c>
      <x:c r="C23" t="str">
        <x:v>DE_SN_2024</x:v>
      </x:c>
      <x:c r="D23" t="str">
        <x:v>standard</x:v>
      </x:c>
      <x:c r="E23" t="str">
        <x:v>published categories</x:v>
      </x:c>
      <x:c r="F23" s="24" t="n">
        <x:v>7.8</x:v>
      </x:c>
      <x:c r="G23" s="24" t="n">
        <x:f>SUMIF(Poll_Party!$A:$A,A23,Poll_Party!$I:$I)</x:f>
        <x:v>6.960000000000001</x:v>
      </x:c>
      <x:c r="H23" s="24" t="n">
        <x:f>SUMIF(Poll_Party!$A:$A,A23,Poll_Party!$H:$H)/COUNTIF(Poll_Party!$A:$A,A23)</x:f>
        <x:v>0.8571428571428573</x:v>
      </x:c>
      <x:c r="I23" s="24" t="n">
        <x:f>SQRT(SUMIF(Poll_Party!$A:$A,A23,Poll_Party!$I:$I)/COUNTIF(Poll_Party!$A:$A,A23))</x:f>
        <x:v>0.99713876380658</x:v>
      </x:c>
      <x:c r="J23" t="n">
        <x:v>7</x:v>
      </x:c>
      <x:c r="K23" t="str">
        <x:v>https://www.marktforschung.de/marktforschung/a/forschungsgruppe-wahlen-holt-das-double-in-sachsen/</x:v>
      </x:c>
    </x:row>
    <x:row r="24">
      <x:c r="A24" t="str">
        <x:v>C023</x:v>
      </x:c>
      <x:c r="B24" t="str">
        <x:v>P023</x:v>
      </x:c>
      <x:c r="C24" t="str">
        <x:v>DE_SN_2024</x:v>
      </x:c>
      <x:c r="D24" t="str">
        <x:v>standard</x:v>
      </x:c>
      <x:c r="E24" t="str">
        <x:v>published categories</x:v>
      </x:c>
      <x:c r="F24" s="24" t="n">
        <x:v>18.4</x:v>
      </x:c>
      <x:c r="G24" s="24" t="n">
        <x:f>SUMIF(Poll_Party!$A:$A,A24,Poll_Party!$I:$I)</x:f>
        <x:v>17.15999999999999</x:v>
      </x:c>
      <x:c r="H24" s="24" t="n">
        <x:f>SUMIF(Poll_Party!$A:$A,A24,Poll_Party!$H:$H)/COUNTIF(Poll_Party!$A:$A,A24)</x:f>
        <x:v>1.2857142857142851</x:v>
      </x:c>
      <x:c r="I24" s="24" t="n">
        <x:f>SQRT(SUMIF(Poll_Party!$A:$A,A24,Poll_Party!$I:$I)/COUNTIF(Poll_Party!$A:$A,A24))</x:f>
        <x:v>1.565703858150886</x:v>
      </x:c>
      <x:c r="J24" t="n">
        <x:v>7</x:v>
      </x:c>
      <x:c r="K24" t="str">
        <x:v>https://www.marktforschung.de/marktforschung/a/forschungsgruppe-wahlen-holt-das-double-in-sachsen/</x:v>
      </x:c>
    </x:row>
    <x:row r="25">
      <x:c r="A25" t="str">
        <x:v>C024</x:v>
      </x:c>
      <x:c r="B25" t="str">
        <x:v>P024</x:v>
      </x:c>
      <x:c r="C25" t="str">
        <x:v>DE_EP_2024</x:v>
      </x:c>
      <x:c r="D25" t="str">
        <x:v>standard</x:v>
      </x:c>
      <x:c r="E25" t="str">
        <x:v>published categories</x:v>
      </x:c>
      <x:c r="F25" s="24" t="n">
        <x:v>4.44</x:v>
      </x:c>
      <x:c r="G25" s="24" t="n">
        <x:f>SUMIF(Poll_Party!$A:$A,A25,Poll_Party!$I:$I)</x:f>
        <x:v>4.439999999999999</x:v>
      </x:c>
      <x:c r="H25" s="24" t="n">
        <x:f>SUMIF(Poll_Party!$A:$A,A25,Poll_Party!$H:$H)/COUNTIF(Poll_Party!$A:$A,A25)</x:f>
        <x:v>0.5999999999999998</x:v>
      </x:c>
      <x:c r="I25" s="24" t="n">
        <x:f>SQRT(SUMIF(Poll_Party!$A:$A,A25,Poll_Party!$I:$I)/COUNTIF(Poll_Party!$A:$A,A25))</x:f>
        <x:v>0.7449832212875669</x:v>
      </x:c>
      <x:c r="J25" t="n">
        <x:v>8</x:v>
      </x:c>
      <x:c r="K25" t="str">
        <x:v>https://www.marktforschung.de/marktforschung/a/hervorragende-exit-polls-bei-der-europawahl/</x:v>
      </x:c>
    </x:row>
    <x:row r="26">
      <x:c r="A26" t="str">
        <x:v>C025</x:v>
      </x:c>
      <x:c r="B26" t="str">
        <x:v>P025</x:v>
      </x:c>
      <x:c r="C26" t="str">
        <x:v>DE_EP_2024</x:v>
      </x:c>
      <x:c r="D26" t="str">
        <x:v>standard</x:v>
      </x:c>
      <x:c r="E26" t="str">
        <x:v>published categories</x:v>
      </x:c>
      <x:c r="F26" s="24" t="n">
        <x:v>10.24</x:v>
      </x:c>
      <x:c r="G26" s="24" t="n">
        <x:f>SUMIF(Poll_Party!$A:$A,A26,Poll_Party!$I:$I)</x:f>
        <x:v>10.239999999999998</x:v>
      </x:c>
      <x:c r="H26" s="24" t="n">
        <x:f>SUMIF(Poll_Party!$A:$A,A26,Poll_Party!$H:$H)/COUNTIF(Poll_Party!$A:$A,A26)</x:f>
        <x:v>0.8249999999999998</x:v>
      </x:c>
      <x:c r="I26" s="24" t="n">
        <x:f>SQRT(SUMIF(Poll_Party!$A:$A,A26,Poll_Party!$I:$I)/COUNTIF(Poll_Party!$A:$A,A26))</x:f>
        <x:v>1.131370849898476</x:v>
      </x:c>
      <x:c r="J26" t="n">
        <x:v>8</x:v>
      </x:c>
      <x:c r="K26" t="str">
        <x:v>https://www.marktforschung.de/marktforschung/a/hervorragende-exit-polls-bei-der-europawahl/</x:v>
      </x:c>
    </x:row>
    <x:row r="27">
      <x:c r="A27" t="str">
        <x:v>C026</x:v>
      </x:c>
      <x:c r="B27" t="str">
        <x:v>P026</x:v>
      </x:c>
      <x:c r="C27" t="str">
        <x:v>DE_EP_2024</x:v>
      </x:c>
      <x:c r="D27" t="str">
        <x:v>standard</x:v>
      </x:c>
      <x:c r="E27" t="str">
        <x:v>published categories</x:v>
      </x:c>
      <x:c r="F27" s="24" t="n">
        <x:v>12.44</x:v>
      </x:c>
      <x:c r="G27" s="24" t="n">
        <x:f>SUMIF(Poll_Party!$A:$A,A27,Poll_Party!$I:$I)</x:f>
        <x:v>12.440000000000001</x:v>
      </x:c>
      <x:c r="H27" s="24" t="n">
        <x:f>SUMIF(Poll_Party!$A:$A,A27,Poll_Party!$H:$H)/COUNTIF(Poll_Party!$A:$A,A27)</x:f>
        <x:v>1.0750000000000002</x:v>
      </x:c>
      <x:c r="I27" s="24" t="n">
        <x:f>SQRT(SUMIF(Poll_Party!$A:$A,A27,Poll_Party!$I:$I)/COUNTIF(Poll_Party!$A:$A,A27))</x:f>
        <x:v>1.2469963913339928</x:v>
      </x:c>
      <x:c r="J27" t="n">
        <x:v>8</x:v>
      </x:c>
      <x:c r="K27" t="str">
        <x:v>https://www.marktforschung.de/marktforschung/a/hervorragende-exit-polls-bei-der-europawahl/</x:v>
      </x:c>
    </x:row>
    <x:row r="28">
      <x:c r="A28" t="str">
        <x:v>C027</x:v>
      </x:c>
      <x:c r="B28" t="str">
        <x:v>P027</x:v>
      </x:c>
      <x:c r="C28" t="str">
        <x:v>DE_EP_2024</x:v>
      </x:c>
      <x:c r="D28" t="str">
        <x:v>standard</x:v>
      </x:c>
      <x:c r="E28" t="str">
        <x:v>published categories</x:v>
      </x:c>
      <x:c r="F28" s="24" t="n">
        <x:v>12.44</x:v>
      </x:c>
      <x:c r="G28" s="24" t="n">
        <x:f>SUMIF(Poll_Party!$A:$A,A28,Poll_Party!$I:$I)</x:f>
        <x:v>12.440000000000001</x:v>
      </x:c>
      <x:c r="H28" s="24" t="n">
        <x:f>SUMIF(Poll_Party!$A:$A,A28,Poll_Party!$H:$H)/COUNTIF(Poll_Party!$A:$A,A28)</x:f>
        <x:v>1.0750000000000002</x:v>
      </x:c>
      <x:c r="I28" s="24" t="n">
        <x:f>SQRT(SUMIF(Poll_Party!$A:$A,A28,Poll_Party!$I:$I)/COUNTIF(Poll_Party!$A:$A,A28))</x:f>
        <x:v>1.2469963913339928</x:v>
      </x:c>
      <x:c r="J28" t="n">
        <x:v>8</x:v>
      </x:c>
      <x:c r="K28" t="str">
        <x:v>https://www.marktforschung.de/marktforschung/a/hervorragende-exit-polls-bei-der-europawahl/</x:v>
      </x:c>
    </x:row>
    <x:row r="29">
      <x:c r="A29" t="str">
        <x:v>C028</x:v>
      </x:c>
      <x:c r="B29" t="str">
        <x:v>P028</x:v>
      </x:c>
      <x:c r="C29" t="str">
        <x:v>DE_EP_2024</x:v>
      </x:c>
      <x:c r="D29" t="str">
        <x:v>standard</x:v>
      </x:c>
      <x:c r="E29" t="str">
        <x:v>published categories</x:v>
      </x:c>
      <x:c r="F29" s="24" t="n">
        <x:v>25.44</x:v>
      </x:c>
      <x:c r="G29" s="24" t="n">
        <x:f>SUMIF(Poll_Party!$A:$A,A29,Poll_Party!$I:$I)</x:f>
        <x:v>25.439999999999994</x:v>
      </x:c>
      <x:c r="H29" s="24" t="n">
        <x:f>SUMIF(Poll_Party!$A:$A,A29,Poll_Party!$H:$H)/COUNTIF(Poll_Party!$A:$A,A29)</x:f>
        <x:v>1.3249999999999997</x:v>
      </x:c>
      <x:c r="I29" s="24" t="n">
        <x:f>SQRT(SUMIF(Poll_Party!$A:$A,A29,Poll_Party!$I:$I)/COUNTIF(Poll_Party!$A:$A,A29))</x:f>
        <x:v>1.7832554500127007</x:v>
      </x:c>
      <x:c r="J29" t="n">
        <x:v>8</x:v>
      </x:c>
      <x:c r="K29" t="str">
        <x:v>https://www.marktforschung.de/marktforschung/a/hervorragende-exit-polls-bei-der-europawahl/</x:v>
      </x:c>
    </x:row>
    <x:row r="30">
      <x:c r="A30" t="str">
        <x:v>C029</x:v>
      </x:c>
      <x:c r="B30" t="str">
        <x:v>P029</x:v>
      </x:c>
      <x:c r="C30" t="str">
        <x:v>DE_EP_2024</x:v>
      </x:c>
      <x:c r="D30" t="str">
        <x:v>standard</x:v>
      </x:c>
      <x:c r="E30" t="str">
        <x:v>published categories</x:v>
      </x:c>
      <x:c r="F30" s="24" t="n">
        <x:v>102.24</x:v>
      </x:c>
      <x:c r="G30" s="24" t="n">
        <x:f>SUMIF(Poll_Party!$A:$A,A30,Poll_Party!$I:$I)</x:f>
        <x:v>102.23999999999998</x:v>
      </x:c>
      <x:c r="H30" s="24" t="n">
        <x:f>SUMIF(Poll_Party!$A:$A,A30,Poll_Party!$H:$H)/COUNTIF(Poll_Party!$A:$A,A30)</x:f>
        <x:v>2.65</x:v>
      </x:c>
      <x:c r="I30" s="24" t="n">
        <x:f>SQRT(SUMIF(Poll_Party!$A:$A,A30,Poll_Party!$I:$I)/COUNTIF(Poll_Party!$A:$A,A30))</x:f>
        <x:v>3.574912586343895</x:v>
      </x:c>
      <x:c r="J30" t="n">
        <x:v>8</x:v>
      </x:c>
      <x:c r="K30" t="str">
        <x:v>https://www.marktforschung.de/marktforschung/a/hervorragende-exit-polls-bei-der-europawahl/</x:v>
      </x:c>
    </x:row>
    <x:row r="31">
      <x:c r="A31" t="str">
        <x:v>C030</x:v>
      </x:c>
      <x:c r="B31" t="str">
        <x:v>P030</x:v>
      </x:c>
      <x:c r="C31" t="str">
        <x:v>DE_HE_2023</x:v>
      </x:c>
      <x:c r="D31" t="str">
        <x:v>standard</x:v>
      </x:c>
      <x:c r="E31" t="str">
        <x:v>published categories</x:v>
      </x:c>
      <x:c r="F31" s="24" t="n">
        <x:v>21.48</x:v>
      </x:c>
      <x:c r="G31" s="24" t="n">
        <x:f>SUMIF(Poll_Party!$A:$A,A31,Poll_Party!$I:$I)</x:f>
        <x:v>21.479999999999997</x:v>
      </x:c>
      <x:c r="H31" s="24" t="n">
        <x:f>SUMIF(Poll_Party!$A:$A,A31,Poll_Party!$H:$H)/COUNTIF(Poll_Party!$A:$A,A31)</x:f>
        <x:v>1.275</x:v>
      </x:c>
      <x:c r="I31" s="24" t="n">
        <x:f>SQRT(SUMIF(Poll_Party!$A:$A,A31,Poll_Party!$I:$I)/COUNTIF(Poll_Party!$A:$A,A31))</x:f>
        <x:v>1.6385969608173938</x:v>
      </x:c>
      <x:c r="J31" t="n">
        <x:v>8</x:v>
      </x:c>
      <x:c r="K31" t="str">
        <x:v>https://www.marktforschung.de/marktforschung/a/demoskopen-unterschaetzen-cdu-und-afd-in-hessen/</x:v>
      </x:c>
    </x:row>
    <x:row r="32">
      <x:c r="A32" t="str">
        <x:v>C031</x:v>
      </x:c>
      <x:c r="B32" t="str">
        <x:v>P031</x:v>
      </x:c>
      <x:c r="C32" t="str">
        <x:v>DE_HE_2023</x:v>
      </x:c>
      <x:c r="D32" t="str">
        <x:v>standard</x:v>
      </x:c>
      <x:c r="E32" t="str">
        <x:v>published categories</x:v>
      </x:c>
      <x:c r="F32" s="24" t="n">
        <x:v>26.28</x:v>
      </x:c>
      <x:c r="G32" s="24" t="n">
        <x:f>SUMIF(Poll_Party!$A:$A,A32,Poll_Party!$I:$I)</x:f>
        <x:v>26.28</x:v>
      </x:c>
      <x:c r="H32" s="24" t="n">
        <x:f>SUMIF(Poll_Party!$A:$A,A32,Poll_Party!$H:$H)/COUNTIF(Poll_Party!$A:$A,A32)</x:f>
        <x:v>1.5</x:v>
      </x:c>
      <x:c r="I32" s="24" t="n">
        <x:f>SQRT(SUMIF(Poll_Party!$A:$A,A32,Poll_Party!$I:$I)/COUNTIF(Poll_Party!$A:$A,A32))</x:f>
        <x:v>1.8124568960391858</x:v>
      </x:c>
      <x:c r="J32" t="n">
        <x:v>8</x:v>
      </x:c>
      <x:c r="K32" t="str">
        <x:v>https://www.marktforschung.de/marktforschung/a/demoskopen-unterschaetzen-cdu-und-afd-in-hessen/</x:v>
      </x:c>
    </x:row>
    <x:row r="33">
      <x:c r="A33" t="str">
        <x:v>C032</x:v>
      </x:c>
      <x:c r="B33" t="str">
        <x:v>P032</x:v>
      </x:c>
      <x:c r="C33" t="str">
        <x:v>DE_HE_2023</x:v>
      </x:c>
      <x:c r="D33" t="str">
        <x:v>standard</x:v>
      </x:c>
      <x:c r="E33" t="str">
        <x:v>published categories</x:v>
      </x:c>
      <x:c r="F33" s="24" t="n">
        <x:v>34.48</x:v>
      </x:c>
      <x:c r="G33" s="24" t="n">
        <x:f>SUMIF(Poll_Party!$A:$A,A33,Poll_Party!$I:$I)</x:f>
        <x:v>34.48</x:v>
      </x:c>
      <x:c r="H33" s="24" t="n">
        <x:f>SUMIF(Poll_Party!$A:$A,A33,Poll_Party!$H:$H)/COUNTIF(Poll_Party!$A:$A,A33)</x:f>
        <x:v>1.75</x:v>
      </x:c>
      <x:c r="I33" s="24" t="n">
        <x:f>SQRT(SUMIF(Poll_Party!$A:$A,A33,Poll_Party!$I:$I)/COUNTIF(Poll_Party!$A:$A,A33))</x:f>
        <x:v>2.0760539492026693</x:v>
      </x:c>
      <x:c r="J33" t="n">
        <x:v>8</x:v>
      </x:c>
      <x:c r="K33" t="str">
        <x:v>https://www.marktforschung.de/marktforschung/a/demoskopen-unterschaetzen-cdu-und-afd-in-hessen/</x:v>
      </x:c>
    </x:row>
    <x:row r="34">
      <x:c r="A34" t="str">
        <x:v>C033</x:v>
      </x:c>
      <x:c r="B34" t="str">
        <x:v>P033</x:v>
      </x:c>
      <x:c r="C34" t="str">
        <x:v>DE_HE_2023</x:v>
      </x:c>
      <x:c r="D34" t="str">
        <x:v>published_set</x:v>
      </x:c>
      <x:c r="E34" t="str">
        <x:v>Freie Wähler aggregated into Others</x:v>
      </x:c>
      <x:c r="F34" s="24" t="n">
        <x:v>38.38</x:v>
      </x:c>
      <x:c r="G34" s="24" t="n">
        <x:f>SUMIF(Poll_Party!$A:$A,A34,Poll_Party!$I:$I)</x:f>
        <x:v>38.379999999999995</x:v>
      </x:c>
      <x:c r="H34" s="24" t="n">
        <x:f>SUMIF(Poll_Party!$A:$A,A34,Poll_Party!$H:$H)/COUNTIF(Poll_Party!$A:$A,A34)</x:f>
        <x:v>2</x:v>
      </x:c>
      <x:c r="I34" s="24" t="n">
        <x:f>SQRT(SUMIF(Poll_Party!$A:$A,A34,Poll_Party!$I:$I)/COUNTIF(Poll_Party!$A:$A,A34))</x:f>
        <x:v>2.3415501580912466</x:v>
      </x:c>
      <x:c r="J34" t="n">
        <x:v>7</x:v>
      </x:c>
      <x:c r="K34" t="str">
        <x:v>https://www.marktforschung.de/marktforschung/a/demoskopen-unterschaetzen-cdu-und-afd-in-hessen/</x:v>
      </x:c>
    </x:row>
    <x:row r="35">
      <x:c r="A35" t="str">
        <x:v>C034</x:v>
      </x:c>
      <x:c r="B35" t="str">
        <x:v>P034</x:v>
      </x:c>
      <x:c r="C35" t="str">
        <x:v>DE_BY_2023</x:v>
      </x:c>
      <x:c r="D35" t="str">
        <x:v>standard</x:v>
      </x:c>
      <x:c r="E35" t="str">
        <x:v>published categories</x:v>
      </x:c>
      <x:c r="F35" s="24" t="n">
        <x:v>3.01</x:v>
      </x:c>
      <x:c r="G35" s="24" t="n">
        <x:f>SUMIF(Poll_Party!$A:$A,A35,Poll_Party!$I:$I)</x:f>
        <x:v>3.01</x:v>
      </x:c>
      <x:c r="H35" s="24" t="n">
        <x:f>SUMIF(Poll_Party!$A:$A,A35,Poll_Party!$H:$H)/COUNTIF(Poll_Party!$A:$A,A35)</x:f>
        <x:v>0.5375</x:v>
      </x:c>
      <x:c r="I35" s="24" t="n">
        <x:f>SQRT(SUMIF(Poll_Party!$A:$A,A35,Poll_Party!$I:$I)/COUNTIF(Poll_Party!$A:$A,A35))</x:f>
        <x:v>0.6133922073192648</x:v>
      </x:c>
      <x:c r="J35" t="n">
        <x:v>8</x:v>
      </x:c>
      <x:c r="K35" t="str">
        <x:v>https://www.marktforschung.de/marktforschung/a/phaenomene-die-es-so-wohl-nur-in-bayern-gibt/</x:v>
      </x:c>
    </x:row>
    <x:row r="36">
      <x:c r="A36" t="str">
        <x:v>C035</x:v>
      </x:c>
      <x:c r="B36" t="str">
        <x:v>P035</x:v>
      </x:c>
      <x:c r="C36" t="str">
        <x:v>DE_BY_2023</x:v>
      </x:c>
      <x:c r="D36" t="str">
        <x:v>standard</x:v>
      </x:c>
      <x:c r="E36" t="str">
        <x:v>published categories</x:v>
      </x:c>
      <x:c r="F36" s="24" t="n">
        <x:v>4.01</x:v>
      </x:c>
      <x:c r="G36" s="24" t="n">
        <x:f>SUMIF(Poll_Party!$A:$A,A36,Poll_Party!$I:$I)</x:f>
        <x:v>4.01</x:v>
      </x:c>
      <x:c r="H36" s="24" t="n">
        <x:f>SUMIF(Poll_Party!$A:$A,A36,Poll_Party!$H:$H)/COUNTIF(Poll_Party!$A:$A,A36)</x:f>
        <x:v>0.6625</x:v>
      </x:c>
      <x:c r="I36" s="24" t="n">
        <x:f>SQRT(SUMIF(Poll_Party!$A:$A,A36,Poll_Party!$I:$I)/COUNTIF(Poll_Party!$A:$A,A36))</x:f>
        <x:v>0.7079901129253148</x:v>
      </x:c>
      <x:c r="J36" t="n">
        <x:v>8</x:v>
      </x:c>
      <x:c r="K36" t="str">
        <x:v>https://www.marktforschung.de/marktforschung/a/phaenomene-die-es-so-wohl-nur-in-bayern-gibt/</x:v>
      </x:c>
    </x:row>
    <x:row r="37">
      <x:c r="A37" t="str">
        <x:v>C036</x:v>
      </x:c>
      <x:c r="B37" t="str">
        <x:v>P036</x:v>
      </x:c>
      <x:c r="C37" t="str">
        <x:v>DE_BY_2023</x:v>
      </x:c>
      <x:c r="D37" t="str">
        <x:v>standard</x:v>
      </x:c>
      <x:c r="E37" t="str">
        <x:v>published categories</x:v>
      </x:c>
      <x:c r="F37" s="24" t="n">
        <x:v>4.21</x:v>
      </x:c>
      <x:c r="G37" s="24" t="n">
        <x:f>SUMIF(Poll_Party!$A:$A,A37,Poll_Party!$I:$I)</x:f>
        <x:v>4.209999999999997</x:v>
      </x:c>
      <x:c r="H37" s="24" t="n">
        <x:f>SUMIF(Poll_Party!$A:$A,A37,Poll_Party!$H:$H)/COUNTIF(Poll_Party!$A:$A,A37)</x:f>
        <x:v>0.6374999999999998</x:v>
      </x:c>
      <x:c r="I37" s="24" t="n">
        <x:f>SQRT(SUMIF(Poll_Party!$A:$A,A37,Poll_Party!$I:$I)/COUNTIF(Poll_Party!$A:$A,A37))</x:f>
        <x:v>0.7254309064273452</x:v>
      </x:c>
      <x:c r="J37" t="n">
        <x:v>8</x:v>
      </x:c>
      <x:c r="K37" t="str">
        <x:v>https://www.marktforschung.de/marktforschung/a/phaenomene-die-es-so-wohl-nur-in-bayern-gibt/</x:v>
      </x:c>
    </x:row>
    <x:row r="38">
      <x:c r="A38" t="str">
        <x:v>C037</x:v>
      </x:c>
      <x:c r="B38" t="str">
        <x:v>P037</x:v>
      </x:c>
      <x:c r="C38" t="str">
        <x:v>DE_BY_2023</x:v>
      </x:c>
      <x:c r="D38" t="str">
        <x:v>published_set</x:v>
      </x:c>
      <x:c r="E38" t="str">
        <x:v>LINKE aggregated into Others</x:v>
      </x:c>
      <x:c r="F38" s="24" t="n">
        <x:v>3.61</x:v>
      </x:c>
      <x:c r="G38" s="24" t="n">
        <x:f>SUMIF(Poll_Party!$A:$A,A38,Poll_Party!$I:$I)</x:f>
        <x:v>3.6099999999999985</x:v>
      </x:c>
      <x:c r="H38" s="24" t="n">
        <x:f>SUMIF(Poll_Party!$A:$A,A38,Poll_Party!$H:$H)/COUNTIF(Poll_Party!$A:$A,A38)</x:f>
        <x:v>0.6714285714285712</x:v>
      </x:c>
      <x:c r="I38" s="24" t="n">
        <x:f>SQRT(SUMIF(Poll_Party!$A:$A,A38,Poll_Party!$I:$I)/COUNTIF(Poll_Party!$A:$A,A38))</x:f>
        <x:v>0.7181324987175316</x:v>
      </x:c>
      <x:c r="J38" t="n">
        <x:v>7</x:v>
      </x:c>
      <x:c r="K38" t="str">
        <x:v>https://www.marktforschung.de/marktforschung/a/phaenomene-die-es-so-wohl-nur-in-bayern-gibt/</x:v>
      </x:c>
    </x:row>
    <x:row r="39">
      <x:c r="A39" t="str">
        <x:v>C038</x:v>
      </x:c>
      <x:c r="B39" t="str">
        <x:v>P038</x:v>
      </x:c>
      <x:c r="C39" t="str">
        <x:v>DE_BY_2023</x:v>
      </x:c>
      <x:c r="D39" t="str">
        <x:v>published_set</x:v>
      </x:c>
      <x:c r="E39" t="str">
        <x:v>LINKE aggregated into Others</x:v>
      </x:c>
      <x:c r="F39" s="24" t="n">
        <x:v>4.41</x:v>
      </x:c>
      <x:c r="G39" s="24" t="n">
        <x:f>SUMIF(Poll_Party!$A:$A,A39,Poll_Party!$I:$I)</x:f>
        <x:v>4.409999999999999</x:v>
      </x:c>
      <x:c r="H39" s="24" t="n">
        <x:f>SUMIF(Poll_Party!$A:$A,A39,Poll_Party!$H:$H)/COUNTIF(Poll_Party!$A:$A,A39)</x:f>
        <x:v>0.6142857142857142</x:v>
      </x:c>
      <x:c r="I39" s="24" t="n">
        <x:f>SQRT(SUMIF(Poll_Party!$A:$A,A39,Poll_Party!$I:$I)/COUNTIF(Poll_Party!$A:$A,A39))</x:f>
        <x:v>0.7937253933193771</x:v>
      </x:c>
      <x:c r="J39" t="n">
        <x:v>7</x:v>
      </x:c>
      <x:c r="K39" t="str">
        <x:v>https://www.marktforschung.de/marktforschung/a/phaenomene-die-es-so-wohl-nur-in-bayern-gibt/</x:v>
      </x:c>
    </x:row>
    <x:row r="40">
      <x:c r="A40" t="str">
        <x:v>C039</x:v>
      </x:c>
      <x:c r="B40" t="str">
        <x:v>P039</x:v>
      </x:c>
      <x:c r="C40" t="str">
        <x:v>DE_BE_2023</x:v>
      </x:c>
      <x:c r="D40" t="str">
        <x:v>standard</x:v>
      </x:c>
      <x:c r="E40" t="str">
        <x:v>published categories</x:v>
      </x:c>
      <x:c r="F40" s="24" t="n">
        <x:v>14.38</x:v>
      </x:c>
      <x:c r="G40" s="24" t="n">
        <x:f>SUMIF(Poll_Party!$A:$A,A40,Poll_Party!$I:$I)</x:f>
        <x:v>14.379999999999995</x:v>
      </x:c>
      <x:c r="H40" s="24" t="n">
        <x:f>SUMIF(Poll_Party!$A:$A,A40,Poll_Party!$H:$H)/COUNTIF(Poll_Party!$A:$A,A40)</x:f>
        <x:v>1.0857142857142856</x:v>
      </x:c>
      <x:c r="I40" s="24" t="n">
        <x:f>SQRT(SUMIF(Poll_Party!$A:$A,A40,Poll_Party!$I:$I)/COUNTIF(Poll_Party!$A:$A,A40))</x:f>
        <x:v>1.4332779612781723</x:v>
      </x:c>
      <x:c r="J40" t="n">
        <x:v>7</x:v>
      </x:c>
      <x:c r="K40" t="str">
        <x:v>https://www.marktforschung.de/marktforschung/a/vorwahlumfragen-berlin-zwei-institute-mit-dem-gleichen-ergebnis/</x:v>
      </x:c>
    </x:row>
    <x:row r="41">
      <x:c r="A41" t="str">
        <x:v>C040</x:v>
      </x:c>
      <x:c r="B41" t="str">
        <x:v>P040</x:v>
      </x:c>
      <x:c r="C41" t="str">
        <x:v>DE_BE_2023</x:v>
      </x:c>
      <x:c r="D41" t="str">
        <x:v>standard</x:v>
      </x:c>
      <x:c r="E41" t="str">
        <x:v>published categories</x:v>
      </x:c>
      <x:c r="F41" s="24" t="n">
        <x:v>14.38</x:v>
      </x:c>
      <x:c r="G41" s="24" t="n">
        <x:f>SUMIF(Poll_Party!$A:$A,A41,Poll_Party!$I:$I)</x:f>
        <x:v>14.379999999999995</x:v>
      </x:c>
      <x:c r="H41" s="24" t="n">
        <x:f>SUMIF(Poll_Party!$A:$A,A41,Poll_Party!$H:$H)/COUNTIF(Poll_Party!$A:$A,A41)</x:f>
        <x:v>1.0857142857142856</x:v>
      </x:c>
      <x:c r="I41" s="24" t="n">
        <x:f>SQRT(SUMIF(Poll_Party!$A:$A,A41,Poll_Party!$I:$I)/COUNTIF(Poll_Party!$A:$A,A41))</x:f>
        <x:v>1.4332779612781723</x:v>
      </x:c>
      <x:c r="J41" t="n">
        <x:v>7</x:v>
      </x:c>
      <x:c r="K41" t="str">
        <x:v>https://www.marktforschung.de/marktforschung/a/vorwahlumfragen-berlin-zwei-institute-mit-dem-gleichen-ergebnis/</x:v>
      </x:c>
    </x:row>
    <x:row r="42">
      <x:c r="A42" t="str">
        <x:v>C041</x:v>
      </x:c>
      <x:c r="B42" t="str">
        <x:v>P041</x:v>
      </x:c>
      <x:c r="C42" t="str">
        <x:v>DE_BE_2023</x:v>
      </x:c>
      <x:c r="D42" t="str">
        <x:v>standard</x:v>
      </x:c>
      <x:c r="E42" t="str">
        <x:v>published categories</x:v>
      </x:c>
      <x:c r="F42" s="24" t="n">
        <x:v>16.38</x:v>
      </x:c>
      <x:c r="G42" s="24" t="n">
        <x:f>SUMIF(Poll_Party!$A:$A,A42,Poll_Party!$I:$I)</x:f>
        <x:v>16.379999999999995</x:v>
      </x:c>
      <x:c r="H42" s="24" t="n">
        <x:f>SUMIF(Poll_Party!$A:$A,A42,Poll_Party!$H:$H)/COUNTIF(Poll_Party!$A:$A,A42)</x:f>
        <x:v>1.1999999999999995</x:v>
      </x:c>
      <x:c r="I42" s="24" t="n">
        <x:f>SQRT(SUMIF(Poll_Party!$A:$A,A42,Poll_Party!$I:$I)/COUNTIF(Poll_Party!$A:$A,A42))</x:f>
        <x:v>1.5297058540778352</x:v>
      </x:c>
      <x:c r="J42" t="n">
        <x:v>7</x:v>
      </x:c>
      <x:c r="K42" t="str">
        <x:v>https://www.marktforschung.de/marktforschung/a/vorwahlumfragen-berlin-zwei-institute-mit-dem-gleichen-ergebnis/</x:v>
      </x:c>
    </x:row>
    <x:row r="43">
      <x:c r="A43" t="str">
        <x:v>C042</x:v>
      </x:c>
      <x:c r="B43" t="str">
        <x:v>P042</x:v>
      </x:c>
      <x:c r="C43" t="str">
        <x:v>DE_BE_2023</x:v>
      </x:c>
      <x:c r="D43" t="str">
        <x:v>standard</x:v>
      </x:c>
      <x:c r="E43" t="str">
        <x:v>published categories</x:v>
      </x:c>
      <x:c r="F43" s="24" t="n">
        <x:v>23.98</x:v>
      </x:c>
      <x:c r="G43" s="24" t="n">
        <x:f>SUMIF(Poll_Party!$A:$A,A43,Poll_Party!$I:$I)</x:f>
        <x:v>23.980000000000004</x:v>
      </x:c>
      <x:c r="H43" s="24" t="n">
        <x:f>SUMIF(Poll_Party!$A:$A,A43,Poll_Party!$H:$H)/COUNTIF(Poll_Party!$A:$A,A43)</x:f>
        <x:v>1.657142857142857</x:v>
      </x:c>
      <x:c r="I43" s="24" t="n">
        <x:f>SQRT(SUMIF(Poll_Party!$A:$A,A43,Poll_Party!$I:$I)/COUNTIF(Poll_Party!$A:$A,A43))</x:f>
        <x:v>1.8508685219956296</x:v>
      </x:c>
      <x:c r="J43" t="n">
        <x:v>7</x:v>
      </x:c>
      <x:c r="K43" t="str">
        <x:v>https://www.marktforschung.de/marktforschung/a/vorwahlumfragen-berlin-zwei-institute-mit-dem-gleichen-ergebnis/</x:v>
      </x:c>
    </x:row>
    <x:row r="44">
      <x:c r="A44" t="str">
        <x:v>C043</x:v>
      </x:c>
      <x:c r="B44" t="str">
        <x:v>P043</x:v>
      </x:c>
      <x:c r="C44" t="str">
        <x:v>DE_BE_2023</x:v>
      </x:c>
      <x:c r="D44" t="str">
        <x:v>standard</x:v>
      </x:c>
      <x:c r="E44" t="str">
        <x:v>published categories</x:v>
      </x:c>
      <x:c r="F44" s="24" t="n">
        <x:v>40.58</x:v>
      </x:c>
      <x:c r="G44" s="24" t="n">
        <x:f>SUMIF(Poll_Party!$A:$A,A44,Poll_Party!$I:$I)</x:f>
        <x:v>40.57999999999999</x:v>
      </x:c>
      <x:c r="H44" s="24" t="n">
        <x:f>SUMIF(Poll_Party!$A:$A,A44,Poll_Party!$H:$H)/COUNTIF(Poll_Party!$A:$A,A44)</x:f>
        <x:v>1.9714285714285713</x:v>
      </x:c>
      <x:c r="I44" s="24" t="n">
        <x:f>SQRT(SUMIF(Poll_Party!$A:$A,A44,Poll_Party!$I:$I)/COUNTIF(Poll_Party!$A:$A,A44))</x:f>
        <x:v>2.4077256606895348</x:v>
      </x:c>
      <x:c r="J44" t="n">
        <x:v>7</x:v>
      </x:c>
      <x:c r="K44" t="str">
        <x:v>https://www.marktforschung.de/marktforschung/a/vorwahlumfragen-berlin-zwei-institute-mit-dem-gleichen-ergebnis/</x:v>
      </x:c>
    </x:row>
    <x:row r="45">
      <x:c r="A45" t="str">
        <x:v>C044</x:v>
      </x:c>
      <x:c r="B45" t="str">
        <x:v>P044</x:v>
      </x:c>
      <x:c r="C45" t="str">
        <x:v>DE_NI_2022</x:v>
      </x:c>
      <x:c r="D45" t="str">
        <x:v>standard</x:v>
      </x:c>
      <x:c r="E45" t="str">
        <x:v>published categories</x:v>
      </x:c>
      <x:c r="F45" s="24" t="n">
        <x:v>5.17</x:v>
      </x:c>
      <x:c r="G45" s="24" t="n">
        <x:f>SUMIF(Poll_Party!$A:$A,A45,Poll_Party!$I:$I)</x:f>
        <x:v>5.169999999999998</x:v>
      </x:c>
      <x:c r="H45" s="24" t="n">
        <x:f>SUMIF(Poll_Party!$A:$A,A45,Poll_Party!$H:$H)/COUNTIF(Poll_Party!$A:$A,A45)</x:f>
        <x:v>0.7285714285714285</x:v>
      </x:c>
      <x:c r="I45" s="24" t="n">
        <x:f>SQRT(SUMIF(Poll_Party!$A:$A,A45,Poll_Party!$I:$I)/COUNTIF(Poll_Party!$A:$A,A45))</x:f>
        <x:v>0.8594017852968588</x:v>
      </x:c>
      <x:c r="J45" t="n">
        <x:v>7</x:v>
      </x:c>
      <x:c r="K45" t="str">
        <x:v>https://www.marktforschung.de/marktforschung/a/hervorragende-vorwahlumfragen-in-niedersachsen-mit-einem-wermutstropfen/</x:v>
      </x:c>
    </x:row>
    <x:row r="46">
      <x:c r="A46" t="str">
        <x:v>C045</x:v>
      </x:c>
      <x:c r="B46" t="str">
        <x:v>P045</x:v>
      </x:c>
      <x:c r="C46" t="str">
        <x:v>DE_NI_2022</x:v>
      </x:c>
      <x:c r="D46" t="str">
        <x:v>standard</x:v>
      </x:c>
      <x:c r="E46" t="str">
        <x:v>published categories</x:v>
      </x:c>
      <x:c r="F46" s="24" t="n">
        <x:v>10.17</x:v>
      </x:c>
      <x:c r="G46" s="24" t="n">
        <x:f>SUMIF(Poll_Party!$A:$A,A46,Poll_Party!$I:$I)</x:f>
        <x:v>10.169999999999993</x:v>
      </x:c>
      <x:c r="H46" s="24" t="n">
        <x:f>SUMIF(Poll_Party!$A:$A,A46,Poll_Party!$H:$H)/COUNTIF(Poll_Party!$A:$A,A46)</x:f>
        <x:v>0.8999999999999998</x:v>
      </x:c>
      <x:c r="I46" s="24" t="n">
        <x:f>SQRT(SUMIF(Poll_Party!$A:$A,A46,Poll_Party!$I:$I)/COUNTIF(Poll_Party!$A:$A,A46))</x:f>
        <x:v>1.205345238036448</x:v>
      </x:c>
      <x:c r="J46" t="n">
        <x:v>7</x:v>
      </x:c>
      <x:c r="K46" t="str">
        <x:v>https://www.marktforschung.de/marktforschung/a/hervorragende-vorwahlumfragen-in-niedersachsen-mit-einem-wermutstropfen/</x:v>
      </x:c>
    </x:row>
    <x:row r="47">
      <x:c r="A47" t="str">
        <x:v>C046</x:v>
      </x:c>
      <x:c r="B47" t="str">
        <x:v>P046</x:v>
      </x:c>
      <x:c r="C47" t="str">
        <x:v>DE_NI_2022</x:v>
      </x:c>
      <x:c r="D47" t="str">
        <x:v>standard</x:v>
      </x:c>
      <x:c r="E47" t="str">
        <x:v>published categories</x:v>
      </x:c>
      <x:c r="F47" s="24" t="n">
        <x:v>11.57</x:v>
      </x:c>
      <x:c r="G47" s="24" t="n">
        <x:f>SUMIF(Poll_Party!$A:$A,A47,Poll_Party!$I:$I)</x:f>
        <x:v>11.570000000000004</x:v>
      </x:c>
      <x:c r="H47" s="24" t="n">
        <x:f>SUMIF(Poll_Party!$A:$A,A47,Poll_Party!$H:$H)/COUNTIF(Poll_Party!$A:$A,A47)</x:f>
        <x:v>0.9857142857142858</x:v>
      </x:c>
      <x:c r="I47" s="24" t="n">
        <x:f>SQRT(SUMIF(Poll_Party!$A:$A,A47,Poll_Party!$I:$I)/COUNTIF(Poll_Party!$A:$A,A47))</x:f>
        <x:v>1.2856349181852302</x:v>
      </x:c>
      <x:c r="J47" t="n">
        <x:v>7</x:v>
      </x:c>
      <x:c r="K47" t="str">
        <x:v>https://www.marktforschung.de/marktforschung/a/hervorragende-vorwahlumfragen-in-niedersachsen-mit-einem-wermutstropfen/</x:v>
      </x:c>
    </x:row>
    <x:row r="48">
      <x:c r="A48" t="str">
        <x:v>C047</x:v>
      </x:c>
      <x:c r="B48" t="str">
        <x:v>P047</x:v>
      </x:c>
      <x:c r="C48" t="str">
        <x:v>DE_NI_2022</x:v>
      </x:c>
      <x:c r="D48" t="str">
        <x:v>standard</x:v>
      </x:c>
      <x:c r="E48" t="str">
        <x:v>published categories</x:v>
      </x:c>
      <x:c r="F48" s="24" t="n">
        <x:v>11.97</x:v>
      </x:c>
      <x:c r="G48" s="24" t="n">
        <x:f>SUMIF(Poll_Party!$A:$A,A48,Poll_Party!$I:$I)</x:f>
        <x:v>11.969999999999992</x:v>
      </x:c>
      <x:c r="H48" s="24" t="n">
        <x:f>SUMIF(Poll_Party!$A:$A,A48,Poll_Party!$H:$H)/COUNTIF(Poll_Party!$A:$A,A48)</x:f>
        <x:v>1.1285714285714281</x:v>
      </x:c>
      <x:c r="I48" s="24" t="n">
        <x:f>SQRT(SUMIF(Poll_Party!$A:$A,A48,Poll_Party!$I:$I)/COUNTIF(Poll_Party!$A:$A,A48))</x:f>
        <x:v>1.3076696830622017</x:v>
      </x:c>
      <x:c r="J48" t="n">
        <x:v>7</x:v>
      </x:c>
      <x:c r="K48" t="str">
        <x:v>https://www.marktforschung.de/marktforschung/a/hervorragende-vorwahlumfragen-in-niedersachsen-mit-einem-wermutstropfen/</x:v>
      </x:c>
    </x:row>
    <x:row r="49">
      <x:c r="A49" t="str">
        <x:v>C048</x:v>
      </x:c>
      <x:c r="B49" t="str">
        <x:v>P048</x:v>
      </x:c>
      <x:c r="C49" t="str">
        <x:v>DE_NI_2022</x:v>
      </x:c>
      <x:c r="D49" t="str">
        <x:v>standard</x:v>
      </x:c>
      <x:c r="E49" t="str">
        <x:v>published categories</x:v>
      </x:c>
      <x:c r="F49" s="24" t="n">
        <x:v>12.77</x:v>
      </x:c>
      <x:c r="G49" s="24" t="n">
        <x:f>SUMIF(Poll_Party!$A:$A,A49,Poll_Party!$I:$I)</x:f>
        <x:v>12.770000000000001</x:v>
      </x:c>
      <x:c r="H49" s="24" t="n">
        <x:f>SUMIF(Poll_Party!$A:$A,A49,Poll_Party!$H:$H)/COUNTIF(Poll_Party!$A:$A,A49)</x:f>
        <x:v>1.157142857142857</x:v>
      </x:c>
      <x:c r="I49" s="24" t="n">
        <x:f>SQRT(SUMIF(Poll_Party!$A:$A,A49,Poll_Party!$I:$I)/COUNTIF(Poll_Party!$A:$A,A49))</x:f>
        <x:v>1.3506612137341156</x:v>
      </x:c>
      <x:c r="J49" t="n">
        <x:v>7</x:v>
      </x:c>
      <x:c r="K49" t="str">
        <x:v>https://www.marktforschung.de/marktforschung/a/hervorragende-vorwahlumfragen-in-niedersachsen-mit-einem-wermutstropfen/</x:v>
      </x:c>
    </x:row>
    <x:row r="50">
      <x:c r="A50" t="str">
        <x:v>C049</x:v>
      </x:c>
      <x:c r="B50" t="str">
        <x:v>P049</x:v>
      </x:c>
      <x:c r="C50" t="str">
        <x:v>DE_SH_2022</x:v>
      </x:c>
      <x:c r="D50" t="str">
        <x:v>standard</x:v>
      </x:c>
      <x:c r="E50" t="str">
        <x:v>published categories</x:v>
      </x:c>
      <x:c r="F50" s="24" t="n">
        <x:v>38.47</x:v>
      </x:c>
      <x:c r="G50" s="24" t="n">
        <x:f>SUMIF(Poll_Party!$A:$A,A50,Poll_Party!$I:$I)</x:f>
        <x:v>38.46999999999999</x:v>
      </x:c>
      <x:c r="H50" s="24" t="n">
        <x:f>SUMIF(Poll_Party!$A:$A,A50,Poll_Party!$H:$H)/COUNTIF(Poll_Party!$A:$A,A50)</x:f>
        <x:v>1.6142857142857139</x:v>
      </x:c>
      <x:c r="I50" s="24" t="n">
        <x:f>SQRT(SUMIF(Poll_Party!$A:$A,A50,Poll_Party!$I:$I)/COUNTIF(Poll_Party!$A:$A,A50))</x:f>
        <x:v>2.344293984489634</x:v>
      </x:c>
      <x:c r="J50" t="n">
        <x:v>7</x:v>
      </x:c>
      <x:c r="K50" t="str">
        <x:v>https://www.marktforschung.de/marktforschung/a/die-dynamik-der-cdu-in-schleswig-holstein-wie-haben-die-demoskopen-abgeschnitten/</x:v>
      </x:c>
    </x:row>
    <x:row r="51">
      <x:c r="A51" t="str">
        <x:v>C050</x:v>
      </x:c>
      <x:c r="B51" t="str">
        <x:v>P050</x:v>
      </x:c>
      <x:c r="C51" t="str">
        <x:v>DE_SH_2022</x:v>
      </x:c>
      <x:c r="D51" t="str">
        <x:v>standard</x:v>
      </x:c>
      <x:c r="E51" t="str">
        <x:v>published categories</x:v>
      </x:c>
      <x:c r="F51" s="24" t="n">
        <x:v>43.07</x:v>
      </x:c>
      <x:c r="G51" s="24" t="n">
        <x:f>SUMIF(Poll_Party!$A:$A,A51,Poll_Party!$I:$I)</x:f>
        <x:v>43.069999999999986</x:v>
      </x:c>
      <x:c r="H51" s="24" t="n">
        <x:f>SUMIF(Poll_Party!$A:$A,A51,Poll_Party!$H:$H)/COUNTIF(Poll_Party!$A:$A,A51)</x:f>
        <x:v>2.1</x:v>
      </x:c>
      <x:c r="I51" s="24" t="n">
        <x:f>SQRT(SUMIF(Poll_Party!$A:$A,A51,Poll_Party!$I:$I)/COUNTIF(Poll_Party!$A:$A,A51))</x:f>
        <x:v>2.480495342236534</x:v>
      </x:c>
      <x:c r="J51" t="n">
        <x:v>7</x:v>
      </x:c>
      <x:c r="K51" t="str">
        <x:v>https://www.marktforschung.de/marktforschung/a/die-dynamik-der-cdu-in-schleswig-holstein-wie-haben-die-demoskopen-abgeschnitten/</x:v>
      </x:c>
    </x:row>
    <x:row r="52">
      <x:c r="A52" t="str">
        <x:v>C051</x:v>
      </x:c>
      <x:c r="B52" t="str">
        <x:v>P051</x:v>
      </x:c>
      <x:c r="C52" t="str">
        <x:v>DE_SH_2022</x:v>
      </x:c>
      <x:c r="D52" t="str">
        <x:v>standard</x:v>
      </x:c>
      <x:c r="E52" t="str">
        <x:v>published categories</x:v>
      </x:c>
      <x:c r="F52" s="24" t="n">
        <x:v>55.47</x:v>
      </x:c>
      <x:c r="G52" s="24" t="n">
        <x:f>SUMIF(Poll_Party!$A:$A,A52,Poll_Party!$I:$I)</x:f>
        <x:v>55.469999999999985</x:v>
      </x:c>
      <x:c r="H52" s="24" t="n">
        <x:f>SUMIF(Poll_Party!$A:$A,A52,Poll_Party!$H:$H)/COUNTIF(Poll_Party!$A:$A,A52)</x:f>
        <x:v>2.3857142857142857</x:v>
      </x:c>
      <x:c r="I52" s="24" t="n">
        <x:f>SQRT(SUMIF(Poll_Party!$A:$A,A52,Poll_Party!$I:$I)/COUNTIF(Poll_Party!$A:$A,A52))</x:f>
        <x:v>2.815010784044301</x:v>
      </x:c>
      <x:c r="J52" t="n">
        <x:v>7</x:v>
      </x:c>
      <x:c r="K52" t="str">
        <x:v>https://www.marktforschung.de/marktforschung/a/die-dynamik-der-cdu-in-schleswig-holstein-wie-haben-die-demoskopen-abgeschnitten/</x:v>
      </x:c>
    </x:row>
    <x:row r="53">
      <x:c r="A53" t="str">
        <x:v>C052</x:v>
      </x:c>
      <x:c r="B53" t="str">
        <x:v>P052</x:v>
      </x:c>
      <x:c r="C53" t="str">
        <x:v>DE_SH_2022</x:v>
      </x:c>
      <x:c r="D53" t="str">
        <x:v>standard</x:v>
      </x:c>
      <x:c r="E53" t="str">
        <x:v>published categories</x:v>
      </x:c>
      <x:c r="F53" s="24" t="n">
        <x:v>90.27</x:v>
      </x:c>
      <x:c r="G53" s="24" t="n">
        <x:f>SUMIF(Poll_Party!$A:$A,A53,Poll_Party!$I:$I)</x:f>
        <x:v>90.26999999999997</x:v>
      </x:c>
      <x:c r="H53" s="24" t="n">
        <x:f>SUMIF(Poll_Party!$A:$A,A53,Poll_Party!$H:$H)/COUNTIF(Poll_Party!$A:$A,A53)</x:f>
        <x:v>2.9571428571428564</x:v>
      </x:c>
      <x:c r="I53" s="24" t="n">
        <x:f>SQRT(SUMIF(Poll_Party!$A:$A,A53,Poll_Party!$I:$I)/COUNTIF(Poll_Party!$A:$A,A53))</x:f>
        <x:v>3.591060328888152</x:v>
      </x:c>
      <x:c r="J53" t="n">
        <x:v>7</x:v>
      </x:c>
      <x:c r="K53" t="str">
        <x:v>https://www.marktforschung.de/marktforschung/a/die-dynamik-der-cdu-in-schleswig-holstein-wie-haben-die-demoskopen-abgeschnitten/</x:v>
      </x:c>
    </x:row>
    <x:row r="54">
      <x:c r="A54" t="str">
        <x:v>C053</x:v>
      </x:c>
      <x:c r="B54" t="str">
        <x:v>P053</x:v>
      </x:c>
      <x:c r="C54" t="str">
        <x:v>DE_SL_2022</x:v>
      </x:c>
      <x:c r="D54" t="str">
        <x:v>standard</x:v>
      </x:c>
      <x:c r="E54" t="str">
        <x:v>published categories</x:v>
      </x:c>
      <x:c r="F54" s="24"/>
      <x:c r="G54" s="24" t="n">
        <x:f>SUMIF(Poll_Party!$A:$A,A54,Poll_Party!$I:$I)</x:f>
        <x:v>9.4</x:v>
      </x:c>
      <x:c r="H54" s="24" t="n">
        <x:f>SUMIF(Poll_Party!$A:$A,A54,Poll_Party!$H:$H)/COUNTIF(Poll_Party!$A:$A,A54)</x:f>
        <x:v>0.857142857142857</x:v>
      </x:c>
      <x:c r="I54" s="24" t="n">
        <x:f>SQRT(SUMIF(Poll_Party!$A:$A,A54,Poll_Party!$I:$I)/COUNTIF(Poll_Party!$A:$A,A54))</x:f>
        <x:v>1.1588171308956141</x:v>
      </x:c>
      <x:c r="J54" t="n">
        <x:v>7</x:v>
      </x:c>
      <x:c r="K54" t="str">
        <x:v>https://www.marktforschung.de/marktforschung/a/saarland-die-erste-herausforderung-im-wahljahr-2022/</x:v>
      </x:c>
    </x:row>
    <x:row r="55">
      <x:c r="A55" t="str">
        <x:v>C054</x:v>
      </x:c>
      <x:c r="B55" t="str">
        <x:v>P054</x:v>
      </x:c>
      <x:c r="C55" t="str">
        <x:v>DE_SL_2022</x:v>
      </x:c>
      <x:c r="D55" t="str">
        <x:v>standard</x:v>
      </x:c>
      <x:c r="E55" t="str">
        <x:v>published categories</x:v>
      </x:c>
      <x:c r="F55" s="24"/>
      <x:c r="G55" s="24" t="n">
        <x:f>SUMIF(Poll_Party!$A:$A,A55,Poll_Party!$I:$I)</x:f>
        <x:v>28.6</x:v>
      </x:c>
      <x:c r="H55" s="24" t="n">
        <x:f>SUMIF(Poll_Party!$A:$A,A55,Poll_Party!$H:$H)/COUNTIF(Poll_Party!$A:$A,A55)</x:f>
        <x:v>1.2857142857142854</x:v>
      </x:c>
      <x:c r="I55" s="24" t="n">
        <x:f>SQRT(SUMIF(Poll_Party!$A:$A,A55,Poll_Party!$I:$I)/COUNTIF(Poll_Party!$A:$A,A55))</x:f>
        <x:v>2.021314989237028</x:v>
      </x:c>
      <x:c r="J55" t="n">
        <x:v>7</x:v>
      </x:c>
      <x:c r="K55" t="str">
        <x:v>https://www.marktforschung.de/marktforschung/a/saarland-die-erste-herausforderung-im-wahljahr-2022/</x:v>
      </x:c>
    </x:row>
    <x:row r="56">
      <x:c r="A56" t="str">
        <x:v>C055</x:v>
      </x:c>
      <x:c r="B56" t="str">
        <x:v>P055</x:v>
      </x:c>
      <x:c r="C56" t="str">
        <x:v>DE_SL_2022</x:v>
      </x:c>
      <x:c r="D56" t="str">
        <x:v>standard</x:v>
      </x:c>
      <x:c r="E56" t="str">
        <x:v>published categories</x:v>
      </x:c>
      <x:c r="F56" s="24"/>
      <x:c r="G56" s="24" t="n">
        <x:f>SUMIF(Poll_Party!$A:$A,A56,Poll_Party!$I:$I)</x:f>
        <x:v>55</x:v>
      </x:c>
      <x:c r="H56" s="24" t="n">
        <x:f>SUMIF(Poll_Party!$A:$A,A56,Poll_Party!$H:$H)/COUNTIF(Poll_Party!$A:$A,A56)</x:f>
        <x:v>1.857142857142857</x:v>
      </x:c>
      <x:c r="I56" s="24" t="n">
        <x:f>SQRT(SUMIF(Poll_Party!$A:$A,A56,Poll_Party!$I:$I)/COUNTIF(Poll_Party!$A:$A,A56))</x:f>
        <x:v>2.8030595529069404</x:v>
      </x:c>
      <x:c r="J56" t="n">
        <x:v>7</x:v>
      </x:c>
      <x:c r="K56" t="str">
        <x:v>https://www.marktforschung.de/marktforschung/a/saarland-die-erste-herausforderung-im-wahljahr-2022/</x:v>
      </x:c>
    </x:row>
    <x:row r="57">
      <x:c r="A57" t="str">
        <x:v>C057</x:v>
      </x:c>
      <x:c r="B57" t="str">
        <x:v>P057</x:v>
      </x:c>
      <x:c r="C57" t="str">
        <x:v>DE_BT_2021</x:v>
      </x:c>
      <x:c r="D57" t="str">
        <x:v>standard</x:v>
      </x:c>
      <x:c r="E57" t="str">
        <x:v>published categories</x:v>
      </x:c>
      <x:c r="F57" s="24" t="n">
        <x:v>4.65</x:v>
      </x:c>
      <x:c r="G57" s="24" t="n">
        <x:f>SUMIF(Poll_Party!$A:$A,A57,Poll_Party!$I:$I)</x:f>
        <x:v>4.649999999999996</x:v>
      </x:c>
      <x:c r="H57" s="24" t="n">
        <x:f>SUMIF(Poll_Party!$A:$A,A57,Poll_Party!$H:$H)/COUNTIF(Poll_Party!$A:$A,A57)</x:f>
        <x:v>0.6999999999999998</x:v>
      </x:c>
      <x:c r="I57" s="24" t="n">
        <x:f>SQRT(SUMIF(Poll_Party!$A:$A,A57,Poll_Party!$I:$I)/COUNTIF(Poll_Party!$A:$A,A57))</x:f>
        <x:v>0.815037247176909</x:v>
      </x:c>
      <x:c r="J57" t="n">
        <x:v>7</x:v>
      </x:c>
      <x:c r="K57" t="str">
        <x:v>https://www.marktforschung.de/marktforschung/a/wahlsieger-btw-2021-die-demoskopie/</x:v>
      </x:c>
    </x:row>
    <x:row r="58">
      <x:c r="A58" t="str">
        <x:v>C058</x:v>
      </x:c>
      <x:c r="B58" t="str">
        <x:v>P058</x:v>
      </x:c>
      <x:c r="C58" t="str">
        <x:v>DE_BT_2021</x:v>
      </x:c>
      <x:c r="D58" t="str">
        <x:v>standard</x:v>
      </x:c>
      <x:c r="E58" t="str">
        <x:v>published categories</x:v>
      </x:c>
      <x:c r="F58" s="24" t="n">
        <x:v>5.05</x:v>
      </x:c>
      <x:c r="G58" s="24" t="n">
        <x:f>SUMIF(Poll_Party!$A:$A,A58,Poll_Party!$I:$I)</x:f>
        <x:v>5.05</x:v>
      </x:c>
      <x:c r="H58" s="24" t="n">
        <x:f>SUMIF(Poll_Party!$A:$A,A58,Poll_Party!$H:$H)/COUNTIF(Poll_Party!$A:$A,A58)</x:f>
        <x:v>0.7857142857142857</x:v>
      </x:c>
      <x:c r="I58" s="24" t="n">
        <x:f>SQRT(SUMIF(Poll_Party!$A:$A,A58,Poll_Party!$I:$I)/COUNTIF(Poll_Party!$A:$A,A58))</x:f>
        <x:v>0.8493695140682713</x:v>
      </x:c>
      <x:c r="J58" t="n">
        <x:v>7</x:v>
      </x:c>
      <x:c r="K58" t="str">
        <x:v>https://www.marktforschung.de/marktforschung/a/wahlsieger-btw-2021-die-demoskopie/</x:v>
      </x:c>
    </x:row>
    <x:row r="59">
      <x:c r="A59" t="str">
        <x:v>C059</x:v>
      </x:c>
      <x:c r="B59" t="str">
        <x:v>P059</x:v>
      </x:c>
      <x:c r="C59" t="str">
        <x:v>DE_BT_2021</x:v>
      </x:c>
      <x:c r="D59" t="str">
        <x:v>standard</x:v>
      </x:c>
      <x:c r="E59" t="str">
        <x:v>published categories</x:v>
      </x:c>
      <x:c r="F59" s="24" t="n">
        <x:v>6.15</x:v>
      </x:c>
      <x:c r="G59" s="24" t="n">
        <x:f>SUMIF(Poll_Party!$A:$A,A59,Poll_Party!$I:$I)</x:f>
        <x:v>6.1499999999999995</x:v>
      </x:c>
      <x:c r="H59" s="24" t="n">
        <x:f>SUMIF(Poll_Party!$A:$A,A59,Poll_Party!$H:$H)/COUNTIF(Poll_Party!$A:$A,A59)</x:f>
        <x:v>0.7857142857142857</x:v>
      </x:c>
      <x:c r="I59" s="24" t="n">
        <x:f>SQRT(SUMIF(Poll_Party!$A:$A,A59,Poll_Party!$I:$I)/COUNTIF(Poll_Party!$A:$A,A59))</x:f>
        <x:v>0.9373214115613856</x:v>
      </x:c>
      <x:c r="J59" t="n">
        <x:v>7</x:v>
      </x:c>
      <x:c r="K59" t="str">
        <x:v>https://www.marktforschung.de/marktforschung/a/wahlsieger-btw-2021-die-demoskopie/</x:v>
      </x:c>
    </x:row>
    <x:row r="60">
      <x:c r="A60" t="str">
        <x:v>C060</x:v>
      </x:c>
      <x:c r="B60" t="str">
        <x:v>P060</x:v>
      </x:c>
      <x:c r="C60" t="str">
        <x:v>DE_BT_2021</x:v>
      </x:c>
      <x:c r="D60" t="str">
        <x:v>standard</x:v>
      </x:c>
      <x:c r="E60" t="str">
        <x:v>published categories</x:v>
      </x:c>
      <x:c r="F60" s="24"/>
      <x:c r="G60" s="24" t="n">
        <x:f>SUMIF(Poll_Party!$A:$A,A60,Poll_Party!$I:$I)</x:f>
        <x:v>6.650000000000006</x:v>
      </x:c>
      <x:c r="H60" s="24" t="n">
        <x:f>SUMIF(Poll_Party!$A:$A,A60,Poll_Party!$H:$H)/COUNTIF(Poll_Party!$A:$A,A60)</x:f>
        <x:v>0.7571428571428572</x:v>
      </x:c>
      <x:c r="I60" s="24" t="n">
        <x:f>SQRT(SUMIF(Poll_Party!$A:$A,A60,Poll_Party!$I:$I)/COUNTIF(Poll_Party!$A:$A,A60))</x:f>
        <x:v>0.9746794344808968</x:v>
      </x:c>
      <x:c r="J60" t="n">
        <x:v>7</x:v>
      </x:c>
      <x:c r="K60" t="str">
        <x:v>https://www.marktforschung.de/marktforschung/a/wahlsieger-btw-2021-die-demoskopie/</x:v>
      </x:c>
    </x:row>
    <x:row r="61">
      <x:c r="A61" t="str">
        <x:v>C061</x:v>
      </x:c>
      <x:c r="B61" t="str">
        <x:v>P061</x:v>
      </x:c>
      <x:c r="C61" t="str">
        <x:v>DE_BT_2021</x:v>
      </x:c>
      <x:c r="D61" t="str">
        <x:v>standard</x:v>
      </x:c>
      <x:c r="E61" t="str">
        <x:v>published categories</x:v>
      </x:c>
      <x:c r="F61" s="24"/>
      <x:c r="G61" s="24" t="n">
        <x:f>SUMIF(Poll_Party!$A:$A,A61,Poll_Party!$I:$I)</x:f>
        <x:v>8.250000000000004</x:v>
      </x:c>
      <x:c r="H61" s="24" t="n">
        <x:f>SUMIF(Poll_Party!$A:$A,A61,Poll_Party!$H:$H)/COUNTIF(Poll_Party!$A:$A,A61)</x:f>
        <x:v>0.8428571428571426</x:v>
      </x:c>
      <x:c r="I61" s="24" t="n">
        <x:f>SQRT(SUMIF(Poll_Party!$A:$A,A61,Poll_Party!$I:$I)/COUNTIF(Poll_Party!$A:$A,A61))</x:f>
        <x:v>1.085620296683619</x:v>
      </x:c>
      <x:c r="J61" t="n">
        <x:v>7</x:v>
      </x:c>
      <x:c r="K61" t="str">
        <x:v>https://www.marktforschung.de/marktforschung/a/wahlsieger-btw-2021-die-demoskopie/</x:v>
      </x:c>
    </x:row>
    <x:row r="62">
      <x:c r="A62" t="str">
        <x:v>C062</x:v>
      </x:c>
      <x:c r="B62" t="str">
        <x:v>P062</x:v>
      </x:c>
      <x:c r="C62" t="str">
        <x:v>DE_BT_2021</x:v>
      </x:c>
      <x:c r="D62" t="str">
        <x:v>standard</x:v>
      </x:c>
      <x:c r="E62" t="str">
        <x:v>published categories</x:v>
      </x:c>
      <x:c r="F62" s="24"/>
      <x:c r="G62" s="24" t="n">
        <x:f>SUMIF(Poll_Party!$A:$A,A62,Poll_Party!$I:$I)</x:f>
        <x:v>11.65</x:v>
      </x:c>
      <x:c r="H62" s="24" t="n">
        <x:f>SUMIF(Poll_Party!$A:$A,A62,Poll_Party!$H:$H)/COUNTIF(Poll_Party!$A:$A,A62)</x:f>
        <x:v>1.0714285714285714</x:v>
      </x:c>
      <x:c r="I62" s="24" t="n">
        <x:f>SQRT(SUMIF(Poll_Party!$A:$A,A62,Poll_Party!$I:$I)/COUNTIF(Poll_Party!$A:$A,A62))</x:f>
        <x:v>1.2900719802730831</x:v>
      </x:c>
      <x:c r="J62" t="n">
        <x:v>7</x:v>
      </x:c>
      <x:c r="K62" t="str">
        <x:v>https://www.marktforschung.de/marktforschung/a/wahlsieger-btw-2021-die-demoskopie/</x:v>
      </x:c>
    </x:row>
    <x:row r="63">
      <x:c r="A63" t="str">
        <x:v>C063</x:v>
      </x:c>
      <x:c r="B63" t="str">
        <x:v>P063</x:v>
      </x:c>
      <x:c r="C63" t="str">
        <x:v>DE_BT_2021</x:v>
      </x:c>
      <x:c r="D63" t="str">
        <x:v>standard</x:v>
      </x:c>
      <x:c r="E63" t="str">
        <x:v>published categories</x:v>
      </x:c>
      <x:c r="F63" s="24"/>
      <x:c r="G63" s="24" t="n">
        <x:f>SUMIF(Poll_Party!$A:$A,A63,Poll_Party!$I:$I)</x:f>
        <x:v>16.85</x:v>
      </x:c>
      <x:c r="H63" s="24" t="n">
        <x:f>SUMIF(Poll_Party!$A:$A,A63,Poll_Party!$H:$H)/COUNTIF(Poll_Party!$A:$A,A63)</x:f>
        <x:v>1.2428571428571427</x:v>
      </x:c>
      <x:c r="I63" s="24" t="n">
        <x:f>SQRT(SUMIF(Poll_Party!$A:$A,A63,Poll_Party!$I:$I)/COUNTIF(Poll_Party!$A:$A,A63))</x:f>
        <x:v>1.5514969729725088</x:v>
      </x:c>
      <x:c r="J63" t="n">
        <x:v>7</x:v>
      </x:c>
      <x:c r="K63" t="str">
        <x:v>https://www.marktforschung.de/marktforschung/a/wahlsieger-btw-2021-die-demoskopie/</x:v>
      </x:c>
    </x:row>
    <x:row r="64">
      <x:c r="A64" t="str">
        <x:v>C064</x:v>
      </x:c>
      <x:c r="B64" t="str">
        <x:v>P064</x:v>
      </x:c>
      <x:c r="C64" t="str">
        <x:v>DE_BT_2021</x:v>
      </x:c>
      <x:c r="D64" t="str">
        <x:v>standard</x:v>
      </x:c>
      <x:c r="E64" t="str">
        <x:v>published categories</x:v>
      </x:c>
      <x:c r="F64" s="24"/>
      <x:c r="G64" s="24" t="n">
        <x:f>SUMIF(Poll_Party!$A:$A,A64,Poll_Party!$I:$I)</x:f>
        <x:v>18.450000000000003</x:v>
      </x:c>
      <x:c r="H64" s="24" t="n">
        <x:f>SUMIF(Poll_Party!$A:$A,A64,Poll_Party!$H:$H)/COUNTIF(Poll_Party!$A:$A,A64)</x:f>
        <x:v>1.3285714285714287</x:v>
      </x:c>
      <x:c r="I64" s="24" t="n">
        <x:f>SQRT(SUMIF(Poll_Party!$A:$A,A64,Poll_Party!$I:$I)/COUNTIF(Poll_Party!$A:$A,A64))</x:f>
        <x:v>1.6234883078464981</x:v>
      </x:c>
      <x:c r="J64" t="n">
        <x:v>7</x:v>
      </x:c>
      <x:c r="K64" t="str">
        <x:v>https://www.marktforschung.de/marktforschung/a/wahlsieger-btw-2021-die-demoskopie/</x:v>
      </x:c>
    </x:row>
    <x:row r="65">
      <x:c r="A65" t="str">
        <x:v>C065</x:v>
      </x:c>
      <x:c r="B65" t="str">
        <x:v>P065</x:v>
      </x:c>
      <x:c r="C65" t="str">
        <x:v>DE_BT_2021</x:v>
      </x:c>
      <x:c r="D65" t="str">
        <x:v>standard</x:v>
      </x:c>
      <x:c r="E65" t="str">
        <x:v>published categories</x:v>
      </x:c>
      <x:c r="F65" s="24"/>
      <x:c r="G65" s="24" t="n">
        <x:f>SUMIF(Poll_Party!$A:$A,A65,Poll_Party!$I:$I)</x:f>
        <x:v>17.85</x:v>
      </x:c>
      <x:c r="H65" s="24" t="n">
        <x:f>SUMIF(Poll_Party!$A:$A,A65,Poll_Party!$H:$H)/COUNTIF(Poll_Party!$A:$A,A65)</x:f>
        <x:v>1.3571428571428572</x:v>
      </x:c>
      <x:c r="I65" s="24" t="n">
        <x:f>SQRT(SUMIF(Poll_Party!$A:$A,A65,Poll_Party!$I:$I)/COUNTIF(Poll_Party!$A:$A,A65))</x:f>
        <x:v>1.5968719422671314</x:v>
      </x:c>
      <x:c r="J65" t="n">
        <x:v>7</x:v>
      </x:c>
      <x:c r="K65" t="str">
        <x:v>https://www.marktforschung.de/marktforschung/a/wahlsieger-btw-2021-die-demoskopie/</x:v>
      </x:c>
    </x:row>
    <x:row r="66">
      <x:c r="A66" t="str">
        <x:v>C066</x:v>
      </x:c>
      <x:c r="B66" t="str">
        <x:v>P066</x:v>
      </x:c>
      <x:c r="C66" t="str">
        <x:v>DE_ST_2021</x:v>
      </x:c>
      <x:c r="D66" t="str">
        <x:v>standard</x:v>
      </x:c>
      <x:c r="E66" t="str">
        <x:v>published categories</x:v>
      </x:c>
      <x:c r="F66" s="24" t="n">
        <x:v>67.84</x:v>
      </x:c>
      <x:c r="G66" s="24" t="n">
        <x:f>SUMIF(Poll_Party!$A:$A,A66,Poll_Party!$I:$I)</x:f>
        <x:v>67.84</x:v>
      </x:c>
      <x:c r="H66" s="24" t="n">
        <x:f>SUMIF(Poll_Party!$A:$A,A66,Poll_Party!$H:$H)/COUNTIF(Poll_Party!$A:$A,A66)</x:f>
        <x:v>2.142857142857143</x:v>
      </x:c>
      <x:c r="I66" s="24" t="n">
        <x:f>SQRT(SUMIF(Poll_Party!$A:$A,A66,Poll_Party!$I:$I)/COUNTIF(Poll_Party!$A:$A,A66))</x:f>
        <x:v>3.113105936428854</x:v>
      </x:c>
      <x:c r="J66" t="n">
        <x:v>7</x:v>
      </x:c>
      <x:c r="K66" t="str">
        <x:v>https://www.marktforschung.de/marktforschung/a/wahlumfragen-sachsen-anhalt-viel-luft-nach-oben/</x:v>
      </x:c>
    </x:row>
    <x:row r="67">
      <x:c r="A67" t="str">
        <x:v>C067</x:v>
      </x:c>
      <x:c r="B67" t="str">
        <x:v>P067</x:v>
      </x:c>
      <x:c r="C67" t="str">
        <x:v>DE_ST_2021</x:v>
      </x:c>
      <x:c r="D67" t="str">
        <x:v>standard</x:v>
      </x:c>
      <x:c r="E67" t="str">
        <x:v>published categories</x:v>
      </x:c>
      <x:c r="F67" s="24" t="n">
        <x:v>113.14</x:v>
      </x:c>
      <x:c r="G67" s="24" t="n">
        <x:f>SUMIF(Poll_Party!$A:$A,A67,Poll_Party!$I:$I)</x:f>
        <x:v>113.14000000000001</x:v>
      </x:c>
      <x:c r="H67" s="24" t="n">
        <x:f>SUMIF(Poll_Party!$A:$A,A67,Poll_Party!$H:$H)/COUNTIF(Poll_Party!$A:$A,A67)</x:f>
        <x:v>3</x:v>
      </x:c>
      <x:c r="I67" s="24" t="n">
        <x:f>SQRT(SUMIF(Poll_Party!$A:$A,A67,Poll_Party!$I:$I)/COUNTIF(Poll_Party!$A:$A,A67))</x:f>
        <x:v>4.020305603167145</x:v>
      </x:c>
      <x:c r="J67" t="n">
        <x:v>7</x:v>
      </x:c>
      <x:c r="K67" t="str">
        <x:v>https://www.marktforschung.de/marktforschung/a/wahlumfragen-sachsen-anhalt-viel-luft-nach-oben/</x:v>
      </x:c>
    </x:row>
    <x:row r="68">
      <x:c r="A68" t="str">
        <x:v>C068</x:v>
      </x:c>
      <x:c r="B68" t="str">
        <x:v>P068</x:v>
      </x:c>
      <x:c r="C68" t="str">
        <x:v>DE_ST_2021</x:v>
      </x:c>
      <x:c r="D68" t="str">
        <x:v>standard</x:v>
      </x:c>
      <x:c r="E68" t="str">
        <x:v>published categories</x:v>
      </x:c>
      <x:c r="F68" s="24" t="n">
        <x:v>117.84</x:v>
      </x:c>
      <x:c r="G68" s="24" t="n">
        <x:f>SUMIF(Poll_Party!$A:$A,A68,Poll_Party!$I:$I)</x:f>
        <x:v>117.84</x:v>
      </x:c>
      <x:c r="H68" s="24" t="n">
        <x:f>SUMIF(Poll_Party!$A:$A,A68,Poll_Party!$H:$H)/COUNTIF(Poll_Party!$A:$A,A68)</x:f>
        <x:v>2.885714285714286</x:v>
      </x:c>
      <x:c r="I68" s="24" t="n">
        <x:f>SQRT(SUMIF(Poll_Party!$A:$A,A68,Poll_Party!$I:$I)/COUNTIF(Poll_Party!$A:$A,A68))</x:f>
        <x:v>4.102960603550285</x:v>
      </x:c>
      <x:c r="J68" t="n">
        <x:v>7</x:v>
      </x:c>
      <x:c r="K68" t="str">
        <x:v>https://www.marktforschung.de/marktforschung/a/wahlumfragen-sachsen-anhalt-viel-luft-nach-oben/</x:v>
      </x:c>
    </x:row>
    <x:row r="69">
      <x:c r="A69" t="str">
        <x:v>C069</x:v>
      </x:c>
      <x:c r="B69" t="str">
        <x:v>P069</x:v>
      </x:c>
      <x:c r="C69" t="str">
        <x:v>DE_ST_2021</x:v>
      </x:c>
      <x:c r="D69" t="str">
        <x:v>standard</x:v>
      </x:c>
      <x:c r="E69" t="str">
        <x:v>published categories</x:v>
      </x:c>
      <x:c r="F69" s="24" t="n">
        <x:v>137.54</x:v>
      </x:c>
      <x:c r="G69" s="24" t="n">
        <x:f>SUMIF(Poll_Party!$A:$A,A69,Poll_Party!$I:$I)</x:f>
        <x:v>137.54000000000002</x:v>
      </x:c>
      <x:c r="H69" s="24" t="n">
        <x:f>SUMIF(Poll_Party!$A:$A,A69,Poll_Party!$H:$H)/COUNTIF(Poll_Party!$A:$A,A69)</x:f>
        <x:v>3</x:v>
      </x:c>
      <x:c r="I69" s="24" t="n">
        <x:f>SQRT(SUMIF(Poll_Party!$A:$A,A69,Poll_Party!$I:$I)/COUNTIF(Poll_Party!$A:$A,A69))</x:f>
        <x:v>4.432670913633386</x:v>
      </x:c>
      <x:c r="J69" t="n">
        <x:v>7</x:v>
      </x:c>
      <x:c r="K69" t="str">
        <x:v>https://www.marktforschung.de/marktforschung/a/wahlumfragen-sachsen-anhalt-viel-luft-nach-oben/</x:v>
      </x:c>
    </x:row>
    <x:row r="70">
      <x:c r="A70" t="str">
        <x:v>C070</x:v>
      </x:c>
      <x:c r="B70" t="str">
        <x:v>P070</x:v>
      </x:c>
      <x:c r="C70" t="str">
        <x:v>DE_BW_2021</x:v>
      </x:c>
      <x:c r="D70" t="str">
        <x:v>standard</x:v>
      </x:c>
      <x:c r="E70" t="str">
        <x:v>published categories</x:v>
      </x:c>
      <x:c r="F70" s="24" t="n">
        <x:v>7.52</x:v>
      </x:c>
      <x:c r="G70" s="24" t="n">
        <x:f>SUMIF(Poll_Party!$A:$A,A70,Poll_Party!$I:$I)</x:f>
        <x:v>7.519999999999999</x:v>
      </x:c>
      <x:c r="H70" s="24" t="n">
        <x:f>SUMIF(Poll_Party!$A:$A,A70,Poll_Party!$H:$H)/COUNTIF(Poll_Party!$A:$A,A70)</x:f>
        <x:v>0.9142857142857144</x:v>
      </x:c>
      <x:c r="I70" s="24" t="n">
        <x:f>SQRT(SUMIF(Poll_Party!$A:$A,A70,Poll_Party!$I:$I)/COUNTIF(Poll_Party!$A:$A,A70))</x:f>
        <x:v>1.0364775512695459</x:v>
      </x:c>
      <x:c r="J70" t="n">
        <x:v>7</x:v>
      </x:c>
      <x:c r="K70" t="str">
        <x:v>https://www.marktforschung.de/marktforschung/a/warmlaufen-fuers-superwahljahr-die-forschungsgruppe-wahlen-mit-dem-besten-start/</x:v>
      </x:c>
    </x:row>
    <x:row r="71">
      <x:c r="A71" t="str">
        <x:v>C071</x:v>
      </x:c>
      <x:c r="B71" t="str">
        <x:v>P071</x:v>
      </x:c>
      <x:c r="C71" t="str">
        <x:v>DE_BW_2021</x:v>
      </x:c>
      <x:c r="D71" t="str">
        <x:v>standard</x:v>
      </x:c>
      <x:c r="E71" t="str">
        <x:v>published categories</x:v>
      </x:c>
      <x:c r="F71" s="24" t="n">
        <x:v>13.92</x:v>
      </x:c>
      <x:c r="G71" s="24" t="n">
        <x:f>SUMIF(Poll_Party!$A:$A,A71,Poll_Party!$I:$I)</x:f>
        <x:v>13.92</x:v>
      </x:c>
      <x:c r="H71" s="24" t="n">
        <x:f>SUMIF(Poll_Party!$A:$A,A71,Poll_Party!$H:$H)/COUNTIF(Poll_Party!$A:$A,A71)</x:f>
        <x:v>1.1428571428571426</x:v>
      </x:c>
      <x:c r="I71" s="24" t="n">
        <x:f>SQRT(SUMIF(Poll_Party!$A:$A,A71,Poll_Party!$I:$I)/COUNTIF(Poll_Party!$A:$A,A71))</x:f>
        <x:v>1.4101671633432076</x:v>
      </x:c>
      <x:c r="J71" t="n">
        <x:v>7</x:v>
      </x:c>
      <x:c r="K71" t="str">
        <x:v>https://www.marktforschung.de/marktforschung/a/warmlaufen-fuers-superwahljahr-die-forschungsgruppe-wahlen-mit-dem-besten-start/</x:v>
      </x:c>
    </x:row>
    <x:row r="72">
      <x:c r="A72" t="str">
        <x:v>C072</x:v>
      </x:c>
      <x:c r="B72" t="str">
        <x:v>P072</x:v>
      </x:c>
      <x:c r="C72" t="str">
        <x:v>DE_BW_2021</x:v>
      </x:c>
      <x:c r="D72" t="str">
        <x:v>standard</x:v>
      </x:c>
      <x:c r="E72" t="str">
        <x:v>published categories</x:v>
      </x:c>
      <x:c r="F72" s="24" t="n">
        <x:v>18.2</x:v>
      </x:c>
      <x:c r="G72" s="24" t="n">
        <x:f>SUMIF(Poll_Party!$A:$A,A72,Poll_Party!$I:$I)</x:f>
        <x:v>18.20000000000001</x:v>
      </x:c>
      <x:c r="H72" s="24" t="n">
        <x:f>SUMIF(Poll_Party!$A:$A,A72,Poll_Party!$H:$H)/COUNTIF(Poll_Party!$A:$A,A72)</x:f>
        <x:v>1.3142857142857147</x:v>
      </x:c>
      <x:c r="I72" s="24" t="n">
        <x:f>SQRT(SUMIF(Poll_Party!$A:$A,A72,Poll_Party!$I:$I)/COUNTIF(Poll_Party!$A:$A,A72))</x:f>
        <x:v>1.6124515496597103</x:v>
      </x:c>
      <x:c r="J72" t="n">
        <x:v>7</x:v>
      </x:c>
      <x:c r="K72" t="str">
        <x:v>https://www.marktforschung.de/marktforschung/a/warmlaufen-fuers-superwahljahr-die-forschungsgruppe-wahlen-mit-dem-besten-start/</x:v>
      </x:c>
    </x:row>
    <x:row r="73">
      <x:c r="A73" t="str">
        <x:v>C073</x:v>
      </x:c>
      <x:c r="B73" t="str">
        <x:v>P073</x:v>
      </x:c>
      <x:c r="C73" t="str">
        <x:v>DE_BW_2021</x:v>
      </x:c>
      <x:c r="D73" t="str">
        <x:v>standard</x:v>
      </x:c>
      <x:c r="E73" t="str">
        <x:v>published categories</x:v>
      </x:c>
      <x:c r="F73" s="24" t="n">
        <x:v>19.12</x:v>
      </x:c>
      <x:c r="G73" s="24" t="n">
        <x:f>SUMIF(Poll_Party!$A:$A,A73,Poll_Party!$I:$I)</x:f>
        <x:v>19.120000000000008</x:v>
      </x:c>
      <x:c r="H73" s="24" t="n">
        <x:f>SUMIF(Poll_Party!$A:$A,A73,Poll_Party!$H:$H)/COUNTIF(Poll_Party!$A:$A,A73)</x:f>
        <x:v>1.2000000000000006</x:v>
      </x:c>
      <x:c r="I73" s="24" t="n">
        <x:f>SQRT(SUMIF(Poll_Party!$A:$A,A73,Poll_Party!$I:$I)/COUNTIF(Poll_Party!$A:$A,A73))</x:f>
        <x:v>1.652703413026237</x:v>
      </x:c>
      <x:c r="J73" t="n">
        <x:v>7</x:v>
      </x:c>
      <x:c r="K73" t="str">
        <x:v>https://www.marktforschung.de/marktforschung/a/warmlaufen-fuers-superwahljahr-die-forschungsgruppe-wahlen-mit-dem-besten-start/</x:v>
      </x:c>
    </x:row>
    <x:row r="74">
      <x:c r="A74" t="str">
        <x:v>C074</x:v>
      </x:c>
      <x:c r="B74" t="str">
        <x:v>P074</x:v>
      </x:c>
      <x:c r="C74" t="str">
        <x:v>DE_RP_2021</x:v>
      </x:c>
      <x:c r="D74" t="str">
        <x:v>standard</x:v>
      </x:c>
      <x:c r="E74" t="str">
        <x:v>published categories</x:v>
      </x:c>
      <x:c r="F74" s="24" t="n">
        <x:v>13.46</x:v>
      </x:c>
      <x:c r="G74" s="24" t="n">
        <x:f>SUMIF(Poll_Party!$A:$A,A74,Poll_Party!$I:$I)</x:f>
        <x:v>12.980000000000015</x:v>
      </x:c>
      <x:c r="H74" s="24" t="n">
        <x:f>SUMIF(Poll_Party!$A:$A,A74,Poll_Party!$H:$H)/COUNTIF(Poll_Party!$A:$A,A74)</x:f>
        <x:v>1.171428571428572</x:v>
      </x:c>
      <x:c r="I74" s="24" t="n">
        <x:f>SQRT(SUMIF(Poll_Party!$A:$A,A74,Poll_Party!$I:$I)/COUNTIF(Poll_Party!$A:$A,A74))</x:f>
        <x:v>1.361721599404855</x:v>
      </x:c>
      <x:c r="J74" t="n">
        <x:v>7</x:v>
      </x:c>
      <x:c r="K74" t="str">
        <x:v>https://www.marktforschung.de/marktforschung/a/warmlaufen-fuers-superwahljahr-die-forschungsgruppe-wahlen-mit-dem-besten-start/</x:v>
      </x:c>
    </x:row>
    <x:row r="75">
      <x:c r="A75" t="str">
        <x:v>C075</x:v>
      </x:c>
      <x:c r="B75" t="str">
        <x:v>P075</x:v>
      </x:c>
      <x:c r="C75" t="str">
        <x:v>DE_RP_2021</x:v>
      </x:c>
      <x:c r="D75" t="str">
        <x:v>standard</x:v>
      </x:c>
      <x:c r="E75" t="str">
        <x:v>published categories</x:v>
      </x:c>
      <x:c r="F75" s="24" t="n">
        <x:v>52.46</x:v>
      </x:c>
      <x:c r="G75" s="24" t="n">
        <x:f>SUMIF(Poll_Party!$A:$A,A75,Poll_Party!$I:$I)</x:f>
        <x:v>51.580000000000034</x:v>
      </x:c>
      <x:c r="H75" s="24" t="n">
        <x:f>SUMIF(Poll_Party!$A:$A,A75,Poll_Party!$H:$H)/COUNTIF(Poll_Party!$A:$A,A75)</x:f>
        <x:v>2.1714285714285717</x:v>
      </x:c>
      <x:c r="I75" s="24" t="n">
        <x:f>SQRT(SUMIF(Poll_Party!$A:$A,A75,Poll_Party!$I:$I)/COUNTIF(Poll_Party!$A:$A,A75))</x:f>
        <x:v>2.7145112688238067</x:v>
      </x:c>
      <x:c r="J75" t="n">
        <x:v>7</x:v>
      </x:c>
      <x:c r="K75" t="str">
        <x:v>https://www.marktforschung.de/marktforschung/a/warmlaufen-fuers-superwahljahr-die-forschungsgruppe-wahlen-mit-dem-besten-start/</x:v>
      </x:c>
    </x:row>
    <x:row r="76">
      <x:c r="A76" t="str">
        <x:v>C076</x:v>
      </x:c>
      <x:c r="B76" t="str">
        <x:v>P076</x:v>
      </x:c>
      <x:c r="C76" t="str">
        <x:v>DE_RP_2021</x:v>
      </x:c>
      <x:c r="D76" t="str">
        <x:v>standard</x:v>
      </x:c>
      <x:c r="E76" t="str">
        <x:v>published categories</x:v>
      </x:c>
      <x:c r="F76" s="24" t="n">
        <x:v>55.9</x:v>
      </x:c>
      <x:c r="G76" s="24" t="n">
        <x:f>SUMIF(Poll_Party!$A:$A,A76,Poll_Party!$I:$I)</x:f>
        <x:v>55.06000000000004</x:v>
      </x:c>
      <x:c r="H76" s="24" t="n">
        <x:f>SUMIF(Poll_Party!$A:$A,A76,Poll_Party!$H:$H)/COUNTIF(Poll_Party!$A:$A,A76)</x:f>
        <x:v>2.3142857142857145</x:v>
      </x:c>
      <x:c r="I76" s="24" t="n">
        <x:f>SQRT(SUMIF(Poll_Party!$A:$A,A76,Poll_Party!$I:$I)/COUNTIF(Poll_Party!$A:$A,A76))</x:f>
        <x:v>2.8045880777244796</x:v>
      </x:c>
      <x:c r="J76" t="n">
        <x:v>7</x:v>
      </x:c>
      <x:c r="K76" t="str">
        <x:v>https://www.marktforschung.de/marktforschung/a/warmlaufen-fuers-superwahljahr-die-forschungsgruppe-wahlen-mit-dem-besten-start/</x:v>
      </x:c>
    </x:row>
    <x:row r="77">
      <x:c r="A77" t="str">
        <x:v>C077</x:v>
      </x:c>
      <x:c r="B77" t="str">
        <x:v>P077</x:v>
      </x:c>
      <x:c r="C77" t="str">
        <x:v>DE_RP_2021</x:v>
      </x:c>
      <x:c r="D77" t="str">
        <x:v>standard</x:v>
      </x:c>
      <x:c r="E77" t="str">
        <x:v>published categories</x:v>
      </x:c>
      <x:c r="F77" s="24" t="n">
        <x:v>56.86</x:v>
      </x:c>
      <x:c r="G77" s="24" t="n">
        <x:f>SUMIF(Poll_Party!$A:$A,A77,Poll_Party!$I:$I)</x:f>
        <x:v>56.78000000000003</x:v>
      </x:c>
      <x:c r="H77" s="24" t="n">
        <x:f>SUMIF(Poll_Party!$A:$A,A77,Poll_Party!$H:$H)/COUNTIF(Poll_Party!$A:$A,A77)</x:f>
        <x:v>2.1714285714285717</x:v>
      </x:c>
      <x:c r="I77" s="24" t="n">
        <x:f>SQRT(SUMIF(Poll_Party!$A:$A,A77,Poll_Party!$I:$I)/COUNTIF(Poll_Party!$A:$A,A77))</x:f>
        <x:v>2.8480569817734644</x:v>
      </x:c>
      <x:c r="J77" t="n">
        <x:v>7</x:v>
      </x:c>
      <x:c r="K77" t="str">
        <x:v>https://www.marktforschung.de/marktforschung/a/warmlaufen-fuers-superwahljahr-die-forschungsgruppe-wahlen-mit-dem-besten-start/</x:v>
      </x:c>
    </x:row>
    <x:row r="78">
      <x:c r="A78" t="str">
        <x:v>C078</x:v>
      </x:c>
      <x:c r="B78" t="str">
        <x:v>P078</x:v>
      </x:c>
      <x:c r="C78" t="str">
        <x:v>DE_HH_2020</x:v>
      </x:c>
      <x:c r="D78" t="str">
        <x:v>standard</x:v>
      </x:c>
      <x:c r="E78" t="str">
        <x:v>published categories</x:v>
      </x:c>
      <x:c r="F78" s="24" t="n">
        <x:v>2.02</x:v>
      </x:c>
      <x:c r="G78" s="24" t="n">
        <x:f>SUMIF(Poll_Party!$A:$A,A78,Poll_Party!$I:$I)</x:f>
        <x:v>1.220000000000001</x:v>
      </x:c>
      <x:c r="H78" s="24" t="n">
        <x:f>SUMIF(Poll_Party!$A:$A,A78,Poll_Party!$H:$H)/COUNTIF(Poll_Party!$A:$A,A78)</x:f>
        <x:v>0.2857142857142857</x:v>
      </x:c>
      <x:c r="I78" s="24" t="n">
        <x:f>SQRT(SUMIF(Poll_Party!$A:$A,A78,Poll_Party!$I:$I)/COUNTIF(Poll_Party!$A:$A,A78))</x:f>
        <x:v>0.41747540560578467</x:v>
      </x:c>
      <x:c r="J78" t="n">
        <x:v>7</x:v>
      </x:c>
      <x:c r="K78" t="str">
        <x:v>https://www.marktforschung.de/marktforschung/a/buergerschaftswahl-in-hamburg-so-verlief-das-rennen-der-meinungsforscher/</x:v>
      </x:c>
    </x:row>
    <x:row r="79">
      <x:c r="A79" t="str">
        <x:v>C079</x:v>
      </x:c>
      <x:c r="B79" t="str">
        <x:v>P079</x:v>
      </x:c>
      <x:c r="C79" t="str">
        <x:v>DE_HH_2020</x:v>
      </x:c>
      <x:c r="D79" t="str">
        <x:v>standard</x:v>
      </x:c>
      <x:c r="E79" t="str">
        <x:v>published categories</x:v>
      </x:c>
      <x:c r="F79" s="24" t="n">
        <x:v>29.42</x:v>
      </x:c>
      <x:c r="G79" s="24" t="n">
        <x:f>SUMIF(Poll_Party!$A:$A,A79,Poll_Party!$I:$I)</x:f>
        <x:v>29.42000000000002</x:v>
      </x:c>
      <x:c r="H79" s="24" t="n">
        <x:f>SUMIF(Poll_Party!$A:$A,A79,Poll_Party!$H:$H)/COUNTIF(Poll_Party!$A:$A,A79)</x:f>
        <x:v>1.6285714285714294</x:v>
      </x:c>
      <x:c r="I79" s="24" t="n">
        <x:f>SQRT(SUMIF(Poll_Party!$A:$A,A79,Poll_Party!$I:$I)/COUNTIF(Poll_Party!$A:$A,A79))</x:f>
        <x:v>2.0500871061633323</x:v>
      </x:c>
      <x:c r="J79" t="n">
        <x:v>7</x:v>
      </x:c>
      <x:c r="K79" t="str">
        <x:v>https://www.marktforschung.de/marktforschung/a/buergerschaftswahl-in-hamburg-so-verlief-das-rennen-der-meinungsforscher/</x:v>
      </x:c>
    </x:row>
    <x:row r="80">
      <x:c r="A80" t="str">
        <x:v>C080</x:v>
      </x:c>
      <x:c r="B80" t="str">
        <x:v>P080</x:v>
      </x:c>
      <x:c r="C80" t="str">
        <x:v>DE_HH_2020</x:v>
      </x:c>
      <x:c r="D80" t="str">
        <x:v>standard</x:v>
      </x:c>
      <x:c r="E80" t="str">
        <x:v>published categories</x:v>
      </x:c>
      <x:c r="F80" s="24" t="n">
        <x:v>93.42</x:v>
      </x:c>
      <x:c r="G80" s="24" t="n">
        <x:f>SUMIF(Poll_Party!$A:$A,A80,Poll_Party!$I:$I)</x:f>
        <x:v>93.42000000000002</x:v>
      </x:c>
      <x:c r="H80" s="24" t="n">
        <x:f>SUMIF(Poll_Party!$A:$A,A80,Poll_Party!$H:$H)/COUNTIF(Poll_Party!$A:$A,A80)</x:f>
        <x:v>2.6000000000000005</x:v>
      </x:c>
      <x:c r="I80" s="24" t="n">
        <x:f>SQRT(SUMIF(Poll_Party!$A:$A,A80,Poll_Party!$I:$I)/COUNTIF(Poll_Party!$A:$A,A80))</x:f>
        <x:v>3.6531786550501866</x:v>
      </x:c>
      <x:c r="J80" t="n">
        <x:v>7</x:v>
      </x:c>
      <x:c r="K80" t="str">
        <x:v>https://www.marktforschung.de/marktforschung/a/buergerschaftswahl-in-hamburg-so-verlief-das-rennen-der-meinungsforscher/</x:v>
      </x:c>
    </x:row>
    <x:row r="81">
      <x:c r="A81" t="str">
        <x:v>C081</x:v>
      </x:c>
      <x:c r="B81" t="str">
        <x:v>P081</x:v>
      </x:c>
      <x:c r="C81" t="str">
        <x:v>DE_HH_2020</x:v>
      </x:c>
      <x:c r="D81" t="str">
        <x:v>standard</x:v>
      </x:c>
      <x:c r="E81" t="str">
        <x:v>published categories</x:v>
      </x:c>
      <x:c r="F81" s="24" t="n">
        <x:v>9.82</x:v>
      </x:c>
      <x:c r="G81" s="24" t="n">
        <x:f>SUMIF(Poll_Party!$A:$A,A81,Poll_Party!$I:$I)</x:f>
        <x:v>9.820000000000002</x:v>
      </x:c>
      <x:c r="H81" s="24" t="n">
        <x:f>SUMIF(Poll_Party!$A:$A,A81,Poll_Party!$H:$H)/COUNTIF(Poll_Party!$A:$A,A81)</x:f>
        <x:v>1</x:v>
      </x:c>
      <x:c r="I81" s="24" t="n">
        <x:f>SQRT(SUMIF(Poll_Party!$A:$A,A81,Poll_Party!$I:$I)/COUNTIF(Poll_Party!$A:$A,A81))</x:f>
        <x:v>1.1844227044670932</x:v>
      </x:c>
      <x:c r="J81" t="n">
        <x:v>7</x:v>
      </x:c>
      <x:c r="K81" t="str">
        <x:v>https://www.marktforschung.de/marktforschung/a/buergerschaftswahl-in-hamburg-so-verlief-das-rennen-der-meinungsforscher/</x:v>
      </x:c>
    </x:row>
    <x:row r="82">
      <x:c r="A82" t="str">
        <x:v>C082</x:v>
      </x:c>
      <x:c r="B82" t="str">
        <x:v>P082</x:v>
      </x:c>
      <x:c r="C82" t="str">
        <x:v>DE_HH_2020</x:v>
      </x:c>
      <x:c r="D82" t="str">
        <x:v>standard</x:v>
      </x:c>
      <x:c r="E82" t="str">
        <x:v>published categories</x:v>
      </x:c>
      <x:c r="F82" s="24" t="n">
        <x:v>12.02</x:v>
      </x:c>
      <x:c r="G82" s="24" t="n">
        <x:f>SUMIF(Poll_Party!$A:$A,A82,Poll_Party!$I:$I)</x:f>
        <x:v>12.020000000000001</x:v>
      </x:c>
      <x:c r="H82" s="24" t="n">
        <x:f>SUMIF(Poll_Party!$A:$A,A82,Poll_Party!$H:$H)/COUNTIF(Poll_Party!$A:$A,A82)</x:f>
        <x:v>1</x:v>
      </x:c>
      <x:c r="I82" s="24" t="n">
        <x:f>SQRT(SUMIF(Poll_Party!$A:$A,A82,Poll_Party!$I:$I)/COUNTIF(Poll_Party!$A:$A,A82))</x:f>
        <x:v>1.310397976624986</x:v>
      </x:c>
      <x:c r="J82" t="n">
        <x:v>7</x:v>
      </x:c>
      <x:c r="K82" t="str">
        <x:v>https://www.marktforschung.de/marktforschung/a/buergerschaftswahl-in-hamburg-so-verlief-das-rennen-der-meinungsforscher/</x:v>
      </x:c>
    </x:row>
    <x:row r="83">
      <x:c r="A83" t="str">
        <x:v>C083</x:v>
      </x:c>
      <x:c r="B83" t="str">
        <x:v>P083</x:v>
      </x:c>
      <x:c r="C83" t="str">
        <x:v>DE_HH_2020</x:v>
      </x:c>
      <x:c r="D83" t="str">
        <x:v>standard</x:v>
      </x:c>
      <x:c r="E83" t="str">
        <x:v>published categories</x:v>
      </x:c>
      <x:c r="F83" s="24" t="n">
        <x:v>53.02</x:v>
      </x:c>
      <x:c r="G83" s="24" t="n">
        <x:f>SUMIF(Poll_Party!$A:$A,A83,Poll_Party!$I:$I)</x:f>
        <x:v>53.02</x:v>
      </x:c>
      <x:c r="H83" s="24" t="n">
        <x:f>SUMIF(Poll_Party!$A:$A,A83,Poll_Party!$H:$H)/COUNTIF(Poll_Party!$A:$A,A83)</x:f>
        <x:v>2.1142857142857143</x:v>
      </x:c>
      <x:c r="I83" s="24" t="n">
        <x:f>SQRT(SUMIF(Poll_Party!$A:$A,A83,Poll_Party!$I:$I)/COUNTIF(Poll_Party!$A:$A,A83))</x:f>
        <x:v>2.7521420229133735</x:v>
      </x:c>
      <x:c r="J83" t="n">
        <x:v>7</x:v>
      </x:c>
      <x:c r="K83" t="str">
        <x:v>https://www.marktforschung.de/marktforschung/a/buergerschaftswahl-in-hamburg-so-verlief-das-rennen-der-meinungsforscher/</x:v>
      </x:c>
    </x:row>
    <x:row r="84">
      <x:c r="F84" s="24"/>
      <x:c r="G84" s="24"/>
      <x:c r="H84" s="24"/>
      <x:c r="I84" s="24"/>
    </x:row>
    <x:row r="85">
      <x:c r="F85" s="24"/>
      <x:c r="G85" s="24"/>
      <x:c r="H85" s="24"/>
      <x:c r="I85" s="24"/>
    </x:row>
    <x:row r="86">
      <x:c r="F86" s="24"/>
      <x:c r="G86" s="24"/>
      <x:c r="H86" s="24"/>
      <x:c r="I86" s="24"/>
    </x:row>
    <x:row r="87">
      <x:c r="F87" s="24"/>
      <x:c r="G87" s="24"/>
      <x:c r="H87" s="24"/>
      <x:c r="I87" s="24"/>
    </x:row>
    <x:row r="88">
      <x:c r="F88" s="24"/>
      <x:c r="G88" s="24"/>
      <x:c r="H88" s="24"/>
      <x:c r="I88" s="24"/>
    </x:row>
    <x:row r="89">
      <x:c r="F89" s="24"/>
      <x:c r="G89" s="24"/>
      <x:c r="H89" s="24"/>
      <x:c r="I89" s="24"/>
    </x:row>
    <x:row r="90">
      <x:c r="F90" s="24"/>
      <x:c r="G90" s="24"/>
      <x:c r="H90" s="24"/>
      <x:c r="I90" s="24"/>
    </x:row>
    <x:row r="91">
      <x:c r="F91" s="24"/>
      <x:c r="G91" s="24"/>
      <x:c r="H91" s="24"/>
      <x:c r="I91" s="24"/>
    </x:row>
    <x:row r="92">
      <x:c r="F92" s="24"/>
      <x:c r="G92" s="24"/>
      <x:c r="H92" s="24"/>
      <x:c r="I92" s="24"/>
    </x:row>
    <x:row r="93">
      <x:c r="F93" s="24"/>
      <x:c r="G93" s="24"/>
      <x:c r="H93" s="24"/>
      <x:c r="I93" s="24"/>
    </x:row>
    <x:row r="94">
      <x:c r="F94" s="24"/>
      <x:c r="G94" s="24"/>
      <x:c r="H94" s="24"/>
      <x:c r="I94" s="24"/>
    </x:row>
    <x:row r="95">
      <x:c r="F95" s="24"/>
      <x:c r="G95" s="24"/>
      <x:c r="H95" s="24"/>
      <x:c r="I95" s="24"/>
    </x:row>
    <x:row r="96">
      <x:c r="F96" s="24"/>
      <x:c r="G96" s="24"/>
      <x:c r="H96" s="24"/>
      <x:c r="I96" s="24"/>
    </x:row>
    <x:row r="97">
      <x:c r="F97" s="24"/>
      <x:c r="G97" s="24"/>
      <x:c r="H97" s="24"/>
      <x:c r="I97" s="24"/>
    </x:row>
    <x:row r="98">
      <x:c r="F98" s="24"/>
      <x:c r="G98" s="24"/>
      <x:c r="H98" s="24"/>
      <x:c r="I98" s="24"/>
    </x:row>
    <x:row r="99">
      <x:c r="F99" s="24"/>
      <x:c r="G99" s="24"/>
      <x:c r="H99" s="24"/>
      <x:c r="I99" s="24"/>
    </x:row>
    <x:row r="100">
      <x:c r="F100" s="24"/>
      <x:c r="G100" s="24"/>
      <x:c r="H100" s="24"/>
      <x:c r="I100" s="24"/>
    </x:row>
    <x:row r="101">
      <x:c r="F101" s="24"/>
      <x:c r="G101" s="24"/>
      <x:c r="H101" s="24"/>
      <x:c r="I101" s="24"/>
    </x:row>
    <x:row r="102">
      <x:c r="F102" s="24"/>
      <x:c r="G102" s="24"/>
      <x:c r="H102" s="24"/>
      <x:c r="I102" s="24"/>
    </x:row>
    <x:row r="103">
      <x:c r="F103" s="24"/>
      <x:c r="G103" s="24"/>
      <x:c r="H103" s="24"/>
      <x:c r="I103" s="24"/>
    </x:row>
    <x:row r="104">
      <x:c r="F104" s="24"/>
      <x:c r="G104" s="24"/>
      <x:c r="H104" s="24"/>
      <x:c r="I104" s="24"/>
    </x:row>
    <x:row r="105">
      <x:c r="F105" s="24"/>
      <x:c r="G105" s="24"/>
      <x:c r="H105" s="24"/>
      <x:c r="I105" s="24"/>
    </x:row>
    <x:row r="106">
      <x:c r="F106" s="24"/>
      <x:c r="G106" s="24"/>
      <x:c r="H106" s="24"/>
      <x:c r="I106" s="24"/>
    </x:row>
    <x:row r="107">
      <x:c r="F107" s="24"/>
      <x:c r="G107" s="24"/>
      <x:c r="H107" s="24"/>
      <x:c r="I107" s="24"/>
    </x:row>
    <x:row r="108">
      <x:c r="F108" s="24"/>
      <x:c r="G108" s="24"/>
      <x:c r="H108" s="24"/>
      <x:c r="I108" s="24"/>
    </x:row>
    <x:row r="109">
      <x:c r="F109" s="24"/>
      <x:c r="G109" s="24"/>
      <x:c r="H109" s="24"/>
      <x:c r="I109" s="24"/>
    </x:row>
    <x:row r="110">
      <x:c r="F110" s="24"/>
      <x:c r="G110" s="24"/>
      <x:c r="H110" s="24"/>
      <x:c r="I110" s="24"/>
    </x:row>
    <x:row r="111">
      <x:c r="F111" s="24"/>
      <x:c r="G111" s="24"/>
      <x:c r="H111" s="24"/>
      <x:c r="I111" s="24"/>
    </x:row>
    <x:row r="112">
      <x:c r="F112" s="24"/>
      <x:c r="G112" s="24"/>
      <x:c r="H112" s="24"/>
      <x:c r="I112" s="24"/>
    </x:row>
    <x:row r="113">
      <x:c r="F113" s="24"/>
      <x:c r="G113" s="24"/>
      <x:c r="H113" s="24"/>
      <x:c r="I113" s="24"/>
    </x:row>
    <x:row r="114">
      <x:c r="F114" s="24"/>
      <x:c r="G114" s="24"/>
      <x:c r="H114" s="24"/>
      <x:c r="I114" s="24"/>
    </x:row>
    <x:row r="115">
      <x:c r="F115" s="24"/>
      <x:c r="G115" s="24"/>
      <x:c r="H115" s="24"/>
      <x:c r="I115" s="24"/>
    </x:row>
    <x:row r="116">
      <x:c r="F116" s="24"/>
      <x:c r="G116" s="24"/>
      <x:c r="H116" s="24"/>
      <x:c r="I116" s="24"/>
    </x:row>
    <x:row r="117">
      <x:c r="F117" s="24"/>
      <x:c r="G117" s="24"/>
      <x:c r="H117" s="24"/>
      <x:c r="I117" s="24"/>
    </x:row>
    <x:row r="118">
      <x:c r="F118" s="24"/>
      <x:c r="G118" s="24"/>
      <x:c r="H118" s="24"/>
      <x:c r="I118" s="24"/>
    </x:row>
    <x:row r="119">
      <x:c r="F119" s="24"/>
      <x:c r="G119" s="24"/>
      <x:c r="H119" s="24"/>
      <x:c r="I119" s="24"/>
    </x:row>
    <x:row r="120">
      <x:c r="F120" s="24"/>
      <x:c r="G120" s="24"/>
      <x:c r="H120" s="24"/>
      <x:c r="I120" s="24"/>
    </x:row>
    <x:row r="121">
      <x:c r="F121" s="24"/>
      <x:c r="G121" s="24"/>
      <x:c r="H121" s="24"/>
      <x:c r="I121" s="24"/>
    </x:row>
    <x:row r="122">
      <x:c r="F122" s="24"/>
      <x:c r="G122" s="24"/>
      <x:c r="H122" s="24"/>
      <x:c r="I122" s="24"/>
    </x:row>
    <x:row r="123">
      <x:c r="F123" s="24"/>
      <x:c r="G123" s="24"/>
      <x:c r="H123" s="24"/>
      <x:c r="I123" s="24"/>
    </x:row>
    <x:row r="124">
      <x:c r="F124" s="24"/>
      <x:c r="G124" s="24"/>
      <x:c r="H124" s="24"/>
      <x:c r="I124" s="24"/>
    </x:row>
    <x:row r="125">
      <x:c r="F125" s="24"/>
      <x:c r="G125" s="24"/>
      <x:c r="H125" s="24"/>
      <x:c r="I125" s="24"/>
    </x:row>
    <x:row r="126">
      <x:c r="F126" s="24"/>
      <x:c r="G126" s="24"/>
      <x:c r="H126" s="24"/>
      <x:c r="I126" s="24"/>
    </x:row>
    <x:row r="127">
      <x:c r="F127" s="24"/>
      <x:c r="G127" s="24"/>
      <x:c r="H127" s="24"/>
      <x:c r="I127" s="24"/>
    </x:row>
    <x:row r="128">
      <x:c r="F128" s="24"/>
      <x:c r="G128" s="24"/>
      <x:c r="H128" s="24"/>
      <x:c r="I128" s="24"/>
    </x:row>
    <x:row r="129">
      <x:c r="F129" s="24"/>
      <x:c r="G129" s="24"/>
      <x:c r="H129" s="24"/>
      <x:c r="I129" s="24"/>
    </x:row>
    <x:row r="130">
      <x:c r="F130" s="24"/>
      <x:c r="G130" s="24"/>
      <x:c r="H130" s="24"/>
      <x:c r="I130" s="24"/>
    </x:row>
    <x:row r="131">
      <x:c r="F131" s="24"/>
      <x:c r="G131" s="24"/>
      <x:c r="H131" s="24"/>
      <x:c r="I131" s="24"/>
    </x:row>
    <x:row r="132">
      <x:c r="F132" s="24"/>
      <x:c r="G132" s="24"/>
      <x:c r="H132" s="24"/>
      <x:c r="I132" s="24"/>
    </x:row>
    <x:row r="133">
      <x:c r="F133" s="24"/>
      <x:c r="G133" s="24"/>
      <x:c r="H133" s="24"/>
      <x:c r="I133" s="24"/>
    </x:row>
    <x:row r="134">
      <x:c r="F134" s="24"/>
      <x:c r="G134" s="24"/>
      <x:c r="H134" s="24"/>
      <x:c r="I134" s="24"/>
    </x:row>
    <x:row r="135">
      <x:c r="F135" s="24"/>
      <x:c r="G135" s="24"/>
      <x:c r="H135" s="24"/>
      <x:c r="I135" s="24"/>
    </x:row>
    <x:row r="136">
      <x:c r="F136" s="24"/>
      <x:c r="G136" s="24"/>
      <x:c r="H136" s="24"/>
      <x:c r="I136" s="24"/>
    </x:row>
    <x:row r="137">
      <x:c r="F137" s="24"/>
      <x:c r="G137" s="24"/>
      <x:c r="H137" s="24"/>
      <x:c r="I137" s="24"/>
    </x:row>
    <x:row r="138">
      <x:c r="F138" s="24"/>
      <x:c r="G138" s="24"/>
      <x:c r="H138" s="24"/>
      <x:c r="I138" s="24"/>
    </x:row>
    <x:row r="139">
      <x:c r="F139" s="24"/>
      <x:c r="G139" s="24"/>
      <x:c r="H139" s="24"/>
      <x:c r="I139" s="24"/>
    </x:row>
    <x:row r="140">
      <x:c r="F140" s="24"/>
      <x:c r="G140" s="24"/>
      <x:c r="H140" s="24"/>
      <x:c r="I140" s="24"/>
    </x:row>
    <x:row r="141">
      <x:c r="F141" s="24"/>
      <x:c r="G141" s="24"/>
      <x:c r="H141" s="24"/>
      <x:c r="I141" s="24"/>
    </x:row>
    <x:row r="142">
      <x:c r="F142" s="24"/>
      <x:c r="G142" s="24"/>
      <x:c r="H142" s="24"/>
      <x:c r="I142" s="24"/>
    </x:row>
    <x:row r="143">
      <x:c r="F143" s="24"/>
      <x:c r="G143" s="24"/>
      <x:c r="H143" s="24"/>
      <x:c r="I143" s="24"/>
    </x:row>
    <x:row r="144">
      <x:c r="F144" s="24"/>
      <x:c r="G144" s="24"/>
      <x:c r="H144" s="24"/>
      <x:c r="I144" s="24"/>
    </x:row>
    <x:row r="145">
      <x:c r="F145" s="24"/>
      <x:c r="G145" s="24"/>
      <x:c r="H145" s="24"/>
      <x:c r="I145" s="24"/>
    </x:row>
    <x:row r="146">
      <x:c r="F146" s="24"/>
      <x:c r="G146" s="24"/>
      <x:c r="H146" s="24"/>
      <x:c r="I146" s="24"/>
    </x:row>
    <x:row r="147">
      <x:c r="F147" s="24"/>
      <x:c r="G147" s="24"/>
      <x:c r="H147" s="24"/>
      <x:c r="I147" s="24"/>
    </x:row>
    <x:row r="148">
      <x:c r="F148" s="24"/>
      <x:c r="G148" s="24"/>
      <x:c r="H148" s="24"/>
      <x:c r="I148" s="24"/>
    </x:row>
    <x:row r="149">
      <x:c r="F149" s="24"/>
      <x:c r="G149" s="24"/>
      <x:c r="H149" s="24"/>
      <x:c r="I149" s="24"/>
    </x:row>
    <x:row r="150">
      <x:c r="F150" s="24"/>
      <x:c r="G150" s="24"/>
      <x:c r="H150" s="24"/>
      <x:c r="I150" s="24"/>
    </x:row>
    <x:row r="151">
      <x:c r="F151" s="24"/>
      <x:c r="G151" s="24"/>
      <x:c r="H151" s="24"/>
      <x:c r="I151" s="24"/>
    </x:row>
    <x:row r="152">
      <x:c r="F152" s="24"/>
      <x:c r="G152" s="24"/>
      <x:c r="H152" s="24"/>
      <x:c r="I152" s="24"/>
    </x:row>
    <x:row r="153">
      <x:c r="F153" s="24"/>
      <x:c r="G153" s="24"/>
      <x:c r="H153" s="24"/>
      <x:c r="I153" s="24"/>
    </x:row>
    <x:row r="154">
      <x:c r="F154" s="24"/>
      <x:c r="G154" s="24"/>
      <x:c r="H154" s="24"/>
      <x:c r="I154" s="24"/>
    </x:row>
    <x:row r="155">
      <x:c r="F155" s="24"/>
      <x:c r="G155" s="24"/>
      <x:c r="H155" s="24"/>
      <x:c r="I155" s="24"/>
    </x:row>
    <x:row r="156">
      <x:c r="F156" s="24"/>
      <x:c r="G156" s="24"/>
      <x:c r="H156" s="24"/>
      <x:c r="I156" s="24"/>
    </x:row>
    <x:row r="157">
      <x:c r="F157" s="24"/>
      <x:c r="G157" s="24"/>
      <x:c r="H157" s="24"/>
      <x:c r="I157" s="24"/>
    </x:row>
    <x:row r="158">
      <x:c r="F158" s="24"/>
      <x:c r="G158" s="24"/>
      <x:c r="H158" s="24"/>
      <x:c r="I158" s="24"/>
    </x:row>
    <x:row r="159">
      <x:c r="F159" s="24"/>
      <x:c r="G159" s="24"/>
      <x:c r="H159" s="24"/>
      <x:c r="I159" s="24"/>
    </x:row>
    <x:row r="160">
      <x:c r="F160" s="24"/>
      <x:c r="G160" s="24"/>
      <x:c r="H160" s="24"/>
      <x:c r="I160" s="24"/>
    </x:row>
    <x:row r="161">
      <x:c r="F161" s="24"/>
      <x:c r="G161" s="24"/>
      <x:c r="H161" s="24"/>
      <x:c r="I161" s="24"/>
    </x:row>
    <x:row r="162">
      <x:c r="F162" s="24"/>
      <x:c r="G162" s="24"/>
      <x:c r="H162" s="24"/>
      <x:c r="I162" s="24"/>
    </x:row>
    <x:row r="163">
      <x:c r="F163" s="24"/>
      <x:c r="G163" s="24"/>
      <x:c r="H163" s="24"/>
      <x:c r="I163" s="24"/>
    </x:row>
    <x:row r="164">
      <x:c r="F164" s="24"/>
      <x:c r="G164" s="24"/>
      <x:c r="H164" s="24"/>
      <x:c r="I164" s="24"/>
    </x:row>
    <x:row r="165">
      <x:c r="F165" s="24"/>
      <x:c r="G165" s="24"/>
      <x:c r="H165" s="24"/>
      <x:c r="I165" s="24"/>
    </x:row>
    <x:row r="166">
      <x:c r="F166" s="24"/>
      <x:c r="G166" s="24"/>
      <x:c r="H166" s="24"/>
      <x:c r="I166" s="24"/>
    </x:row>
    <x:row r="167">
      <x:c r="F167" s="24"/>
      <x:c r="G167" s="24"/>
      <x:c r="H167" s="24"/>
      <x:c r="I167" s="24"/>
    </x:row>
    <x:row r="168">
      <x:c r="F168" s="24"/>
      <x:c r="G168" s="24"/>
      <x:c r="H168" s="24"/>
      <x:c r="I168" s="24"/>
    </x:row>
    <x:row r="169">
      <x:c r="F169" s="24"/>
      <x:c r="G169" s="24"/>
      <x:c r="H169" s="24"/>
      <x:c r="I169" s="24"/>
    </x:row>
    <x:row r="170">
      <x:c r="F170" s="24"/>
      <x:c r="G170" s="24"/>
      <x:c r="H170" s="24"/>
      <x:c r="I170" s="24"/>
    </x:row>
    <x:row r="171">
      <x:c r="F171" s="24"/>
      <x:c r="G171" s="24"/>
      <x:c r="H171" s="24"/>
      <x:c r="I171" s="24"/>
    </x:row>
    <x:row r="172">
      <x:c r="F172" s="24"/>
      <x:c r="G172" s="24"/>
      <x:c r="H172" s="24"/>
      <x:c r="I172" s="24"/>
    </x:row>
    <x:row r="173">
      <x:c r="F173" s="24"/>
      <x:c r="G173" s="24"/>
      <x:c r="H173" s="24"/>
      <x:c r="I173" s="24"/>
    </x:row>
    <x:row r="174">
      <x:c r="F174" s="24"/>
      <x:c r="G174" s="24"/>
      <x:c r="H174" s="24"/>
      <x:c r="I174" s="24"/>
    </x:row>
    <x:row r="175">
      <x:c r="F175" s="24"/>
      <x:c r="G175" s="24"/>
      <x:c r="H175" s="24"/>
      <x:c r="I175" s="24"/>
    </x:row>
    <x:row r="176">
      <x:c r="F176" s="24"/>
      <x:c r="G176" s="24"/>
      <x:c r="H176" s="24"/>
      <x:c r="I176" s="24"/>
    </x:row>
    <x:row r="177">
      <x:c r="F177" s="24"/>
      <x:c r="G177" s="24"/>
      <x:c r="H177" s="24"/>
      <x:c r="I177" s="24"/>
    </x:row>
    <x:row r="178">
      <x:c r="F178" s="24"/>
      <x:c r="G178" s="24"/>
      <x:c r="H178" s="24"/>
      <x:c r="I178" s="24"/>
    </x:row>
    <x:row r="179">
      <x:c r="F179" s="24"/>
      <x:c r="G179" s="24"/>
      <x:c r="H179" s="24"/>
      <x:c r="I179" s="24"/>
    </x:row>
    <x:row r="180">
      <x:c r="F180" s="24"/>
      <x:c r="G180" s="24"/>
      <x:c r="H180" s="24"/>
      <x:c r="I180" s="24"/>
    </x:row>
    <x:row r="181">
      <x:c r="F181" s="24"/>
      <x:c r="G181" s="24"/>
      <x:c r="H181" s="24"/>
      <x:c r="I181" s="24"/>
    </x:row>
    <x:row r="182">
      <x:c r="F182" s="24"/>
      <x:c r="G182" s="24"/>
      <x:c r="H182" s="24"/>
      <x:c r="I182" s="24"/>
    </x:row>
    <x:row r="183">
      <x:c r="F183" s="24"/>
      <x:c r="G183" s="24"/>
      <x:c r="H183" s="24"/>
      <x:c r="I183" s="24"/>
    </x:row>
    <x:row r="184">
      <x:c r="F184" s="24"/>
      <x:c r="G184" s="24"/>
      <x:c r="H184" s="24"/>
      <x:c r="I184" s="24"/>
    </x:row>
    <x:row r="185">
      <x:c r="F185" s="24"/>
      <x:c r="G185" s="24"/>
      <x:c r="H185" s="24"/>
      <x:c r="I185" s="24"/>
    </x:row>
    <x:row r="186">
      <x:c r="F186" s="24"/>
      <x:c r="G186" s="24"/>
      <x:c r="H186" s="24"/>
      <x:c r="I186" s="24"/>
    </x:row>
    <x:row r="187">
      <x:c r="F187" s="24"/>
      <x:c r="G187" s="24"/>
      <x:c r="H187" s="24"/>
      <x:c r="I187" s="24"/>
    </x:row>
    <x:row r="188">
      <x:c r="F188" s="24"/>
      <x:c r="G188" s="24"/>
      <x:c r="H188" s="24"/>
      <x:c r="I188" s="24"/>
    </x:row>
    <x:row r="189">
      <x:c r="F189" s="24"/>
      <x:c r="G189" s="24"/>
      <x:c r="H189" s="24"/>
      <x:c r="I189" s="24"/>
    </x:row>
    <x:row r="190">
      <x:c r="F190" s="24"/>
      <x:c r="G190" s="24"/>
      <x:c r="H190" s="24"/>
      <x:c r="I190" s="24"/>
    </x:row>
    <x:row r="191">
      <x:c r="F191" s="24"/>
      <x:c r="G191" s="24"/>
      <x:c r="H191" s="24"/>
      <x:c r="I191" s="24"/>
    </x:row>
    <x:row r="192">
      <x:c r="F192" s="24"/>
      <x:c r="G192" s="24"/>
      <x:c r="H192" s="24"/>
      <x:c r="I192" s="24"/>
    </x:row>
    <x:row r="193">
      <x:c r="F193" s="24"/>
      <x:c r="G193" s="24"/>
      <x:c r="H193" s="24"/>
      <x:c r="I193" s="24"/>
    </x:row>
    <x:row r="194">
      <x:c r="F194" s="24"/>
      <x:c r="G194" s="24"/>
      <x:c r="H194" s="24"/>
      <x:c r="I194" s="24"/>
    </x:row>
    <x:row r="195">
      <x:c r="F195" s="24"/>
      <x:c r="G195" s="24"/>
      <x:c r="H195" s="24"/>
      <x:c r="I195" s="24"/>
    </x:row>
    <x:row r="196">
      <x:c r="F196" s="24"/>
      <x:c r="G196" s="24"/>
      <x:c r="H196" s="24"/>
      <x:c r="I196" s="24"/>
    </x:row>
    <x:row r="197">
      <x:c r="F197" s="24"/>
      <x:c r="G197" s="24"/>
      <x:c r="H197" s="24"/>
      <x:c r="I197" s="24"/>
    </x:row>
    <x:row r="198">
      <x:c r="F198" s="24"/>
      <x:c r="G198" s="24"/>
      <x:c r="H198" s="24"/>
      <x:c r="I198" s="24"/>
    </x:row>
    <x:row r="199">
      <x:c r="F199" s="24"/>
      <x:c r="G199" s="24"/>
      <x:c r="H199" s="24"/>
      <x:c r="I199" s="24"/>
    </x:row>
    <x:row r="200">
      <x:c r="F200" s="24"/>
      <x:c r="G200" s="24"/>
      <x:c r="H200" s="24"/>
      <x:c r="I200" s="24"/>
    </x:row>
    <x:row r="201">
      <x:c r="F201" s="24"/>
      <x:c r="G201" s="24"/>
      <x:c r="H201" s="24"/>
      <x:c r="I201" s="24"/>
    </x:row>
    <x:row r="202">
      <x:c r="F202" s="24"/>
      <x:c r="G202" s="24"/>
      <x:c r="H202" s="24"/>
      <x:c r="I202" s="24"/>
    </x:row>
    <x:row r="203">
      <x:c r="F203" s="24"/>
      <x:c r="G203" s="24"/>
      <x:c r="H203" s="24"/>
      <x:c r="I203" s="24"/>
    </x:row>
    <x:row r="204">
      <x:c r="F204" s="24"/>
      <x:c r="G204" s="24"/>
      <x:c r="H204" s="24"/>
      <x:c r="I204" s="24"/>
    </x:row>
    <x:row r="205">
      <x:c r="F205" s="24"/>
      <x:c r="G205" s="24"/>
      <x:c r="H205" s="24"/>
      <x:c r="I205" s="24"/>
    </x:row>
    <x:row r="206">
      <x:c r="F206" s="24"/>
      <x:c r="G206" s="24"/>
      <x:c r="H206" s="24"/>
      <x:c r="I206" s="24"/>
    </x:row>
    <x:row r="207">
      <x:c r="F207" s="24"/>
      <x:c r="G207" s="24"/>
      <x:c r="H207" s="24"/>
      <x:c r="I207" s="24"/>
    </x:row>
    <x:row r="208">
      <x:c r="F208" s="24"/>
      <x:c r="G208" s="24"/>
      <x:c r="H208" s="24"/>
      <x:c r="I208" s="24"/>
    </x:row>
    <x:row r="209">
      <x:c r="F209" s="24"/>
      <x:c r="G209" s="24"/>
      <x:c r="H209" s="24"/>
      <x:c r="I209" s="24"/>
    </x:row>
    <x:row r="210">
      <x:c r="F210" s="24"/>
      <x:c r="G210" s="24"/>
      <x:c r="H210" s="24"/>
      <x:c r="I210" s="24"/>
    </x:row>
    <x:row r="211">
      <x:c r="F211" s="24"/>
      <x:c r="G211" s="24"/>
      <x:c r="H211" s="24"/>
      <x:c r="I211" s="24"/>
    </x:row>
    <x:row r="212">
      <x:c r="F212" s="24"/>
      <x:c r="G212" s="24"/>
      <x:c r="H212" s="24"/>
      <x:c r="I212" s="24"/>
    </x:row>
    <x:row r="213">
      <x:c r="F213" s="24"/>
      <x:c r="G213" s="24"/>
      <x:c r="H213" s="24"/>
      <x:c r="I213" s="24"/>
    </x:row>
    <x:row r="214">
      <x:c r="F214" s="24"/>
      <x:c r="G214" s="24"/>
      <x:c r="H214" s="24"/>
      <x:c r="I214" s="24"/>
    </x:row>
    <x:row r="215">
      <x:c r="F215" s="24"/>
      <x:c r="G215" s="24"/>
      <x:c r="H215" s="24"/>
      <x:c r="I215" s="24"/>
    </x:row>
    <x:row r="216">
      <x:c r="F216" s="24"/>
      <x:c r="G216" s="24"/>
      <x:c r="H216" s="24"/>
      <x:c r="I216" s="24"/>
    </x:row>
    <x:row r="217">
      <x:c r="F217" s="24"/>
      <x:c r="G217" s="24"/>
      <x:c r="H217" s="24"/>
      <x:c r="I217" s="24"/>
    </x:row>
    <x:row r="218">
      <x:c r="F218" s="24"/>
      <x:c r="G218" s="24"/>
      <x:c r="H218" s="24"/>
      <x:c r="I218" s="24"/>
    </x:row>
    <x:row r="219">
      <x:c r="F219" s="24"/>
      <x:c r="G219" s="24"/>
      <x:c r="H219" s="24"/>
      <x:c r="I219" s="24"/>
    </x:row>
    <x:row r="220">
      <x:c r="F220" s="24"/>
      <x:c r="G220" s="24"/>
      <x:c r="H220" s="24"/>
      <x:c r="I220" s="24"/>
    </x:row>
    <x:row r="221">
      <x:c r="F221" s="24"/>
      <x:c r="G221" s="24"/>
      <x:c r="H221" s="24"/>
      <x:c r="I221" s="24"/>
    </x:row>
    <x:row r="222">
      <x:c r="F222" s="24"/>
      <x:c r="G222" s="24"/>
      <x:c r="H222" s="24"/>
      <x:c r="I222" s="24"/>
    </x:row>
    <x:row r="223">
      <x:c r="F223" s="24"/>
      <x:c r="G223" s="24"/>
      <x:c r="H223" s="24"/>
      <x:c r="I223" s="24"/>
    </x:row>
    <x:row r="224">
      <x:c r="F224" s="24"/>
      <x:c r="G224" s="24"/>
      <x:c r="H224" s="24"/>
      <x:c r="I224" s="24"/>
    </x:row>
    <x:row r="225">
      <x:c r="F225" s="24"/>
      <x:c r="G225" s="24"/>
      <x:c r="H225" s="24"/>
      <x:c r="I225" s="24"/>
    </x:row>
    <x:row r="226">
      <x:c r="F226" s="24"/>
      <x:c r="G226" s="24"/>
      <x:c r="H226" s="24"/>
      <x:c r="I226" s="24"/>
    </x:row>
    <x:row r="227">
      <x:c r="F227" s="24"/>
      <x:c r="G227" s="24"/>
      <x:c r="H227" s="24"/>
      <x:c r="I227" s="24"/>
    </x:row>
    <x:row r="228">
      <x:c r="F228" s="24"/>
      <x:c r="G228" s="24"/>
      <x:c r="H228" s="24"/>
      <x:c r="I228" s="24"/>
    </x:row>
    <x:row r="229">
      <x:c r="F229" s="24"/>
      <x:c r="G229" s="24"/>
      <x:c r="H229" s="24"/>
      <x:c r="I229" s="24"/>
    </x:row>
    <x:row r="230">
      <x:c r="F230" s="24"/>
      <x:c r="G230" s="24"/>
      <x:c r="H230" s="24"/>
      <x:c r="I230" s="24"/>
    </x:row>
    <x:row r="231">
      <x:c r="F231" s="24"/>
      <x:c r="G231" s="24"/>
      <x:c r="H231" s="24"/>
      <x:c r="I231" s="24"/>
    </x:row>
    <x:row r="232">
      <x:c r="F232" s="24"/>
      <x:c r="G232" s="24"/>
      <x:c r="H232" s="24"/>
      <x:c r="I232" s="24"/>
    </x:row>
    <x:row r="233">
      <x:c r="F233" s="24"/>
      <x:c r="G233" s="24"/>
      <x:c r="H233" s="24"/>
      <x:c r="I233" s="24"/>
    </x:row>
    <x:row r="234">
      <x:c r="F234" s="24"/>
      <x:c r="G234" s="24"/>
      <x:c r="H234" s="24"/>
      <x:c r="I234" s="24"/>
    </x:row>
    <x:row r="235">
      <x:c r="F235" s="24"/>
      <x:c r="G235" s="24"/>
      <x:c r="H235" s="24"/>
      <x:c r="I235" s="24"/>
    </x:row>
    <x:row r="236">
      <x:c r="F236" s="24"/>
      <x:c r="G236" s="24"/>
      <x:c r="H236" s="24"/>
      <x:c r="I236" s="24"/>
    </x:row>
    <x:row r="237">
      <x:c r="F237" s="24"/>
      <x:c r="G237" s="24"/>
      <x:c r="H237" s="24"/>
      <x:c r="I237" s="24"/>
    </x:row>
    <x:row r="238">
      <x:c r="F238" s="24"/>
      <x:c r="G238" s="24"/>
      <x:c r="H238" s="24"/>
      <x:c r="I238" s="24"/>
    </x:row>
    <x:row r="239">
      <x:c r="F239" s="24"/>
      <x:c r="G239" s="24"/>
      <x:c r="H239" s="24"/>
      <x:c r="I239" s="24"/>
    </x:row>
    <x:row r="240">
      <x:c r="F240" s="24"/>
      <x:c r="G240" s="24"/>
      <x:c r="H240" s="24"/>
      <x:c r="I240" s="24"/>
    </x:row>
    <x:row r="241">
      <x:c r="F241" s="24"/>
      <x:c r="G241" s="24"/>
      <x:c r="H241" s="24"/>
      <x:c r="I241" s="24"/>
    </x:row>
    <x:row r="242">
      <x:c r="F242" s="24"/>
      <x:c r="G242" s="24"/>
      <x:c r="H242" s="24"/>
      <x:c r="I242" s="24"/>
    </x:row>
    <x:row r="243">
      <x:c r="F243" s="24"/>
      <x:c r="G243" s="24"/>
      <x:c r="H243" s="24"/>
      <x:c r="I243" s="24"/>
    </x:row>
    <x:row r="244">
      <x:c r="F244" s="24"/>
      <x:c r="G244" s="24"/>
      <x:c r="H244" s="24"/>
      <x:c r="I244" s="24"/>
    </x:row>
    <x:row r="245">
      <x:c r="F245" s="24"/>
      <x:c r="G245" s="24"/>
      <x:c r="H245" s="24"/>
      <x:c r="I245" s="24"/>
    </x:row>
    <x:row r="246">
      <x:c r="F246" s="24"/>
      <x:c r="G246" s="24"/>
      <x:c r="H246" s="24"/>
      <x:c r="I246" s="24"/>
    </x:row>
    <x:row r="247">
      <x:c r="F247" s="24"/>
      <x:c r="G247" s="24"/>
      <x:c r="H247" s="24"/>
      <x:c r="I247" s="24"/>
    </x:row>
    <x:row r="248">
      <x:c r="F248" s="24"/>
      <x:c r="G248" s="24"/>
      <x:c r="H248" s="24"/>
      <x:c r="I248" s="24"/>
    </x:row>
    <x:row r="249">
      <x:c r="F249" s="24"/>
      <x:c r="G249" s="24"/>
      <x:c r="H249" s="24"/>
      <x:c r="I249" s="24"/>
    </x:row>
    <x:row r="250">
      <x:c r="F250" s="24"/>
      <x:c r="G250" s="24"/>
      <x:c r="H250" s="24"/>
      <x:c r="I250" s="24"/>
    </x:row>
    <x:row r="251">
      <x:c r="F251" s="24"/>
      <x:c r="G251" s="24"/>
      <x:c r="H251" s="24"/>
      <x:c r="I251" s="24"/>
    </x:row>
    <x:row r="252">
      <x:c r="F252" s="24"/>
      <x:c r="G252" s="24"/>
      <x:c r="H252" s="24"/>
      <x:c r="I252" s="24"/>
    </x:row>
    <x:row r="253">
      <x:c r="F253" s="24"/>
      <x:c r="G253" s="24"/>
      <x:c r="H253" s="24"/>
      <x:c r="I253" s="24"/>
    </x:row>
    <x:row r="254">
      <x:c r="F254" s="24"/>
      <x:c r="G254" s="24"/>
      <x:c r="H254" s="24"/>
      <x:c r="I254" s="24"/>
    </x:row>
    <x:row r="255">
      <x:c r="F255" s="24"/>
      <x:c r="G255" s="24"/>
      <x:c r="H255" s="24"/>
      <x:c r="I255" s="24"/>
    </x:row>
    <x:row r="256">
      <x:c r="F256" s="24"/>
      <x:c r="G256" s="24"/>
      <x:c r="H256" s="24"/>
      <x:c r="I256" s="24"/>
    </x:row>
    <x:row r="257">
      <x:c r="F257" s="24"/>
      <x:c r="G257" s="24"/>
      <x:c r="H257" s="24"/>
      <x:c r="I257" s="24"/>
    </x:row>
    <x:row r="258">
      <x:c r="F258" s="24"/>
      <x:c r="G258" s="24"/>
      <x:c r="H258" s="24"/>
      <x:c r="I258" s="24"/>
    </x:row>
    <x:row r="259">
      <x:c r="F259" s="24"/>
      <x:c r="G259" s="24"/>
      <x:c r="H259" s="24"/>
      <x:c r="I259" s="24"/>
    </x:row>
    <x:row r="260">
      <x:c r="F260" s="24"/>
      <x:c r="G260" s="24"/>
      <x:c r="H260" s="24"/>
      <x:c r="I260" s="24"/>
    </x:row>
    <x:row r="261">
      <x:c r="F261" s="24"/>
      <x:c r="G261" s="24"/>
      <x:c r="H261" s="24"/>
      <x:c r="I261" s="24"/>
    </x:row>
    <x:row r="262">
      <x:c r="F262" s="24"/>
      <x:c r="G262" s="24"/>
      <x:c r="H262" s="24"/>
      <x:c r="I262" s="24"/>
    </x:row>
    <x:row r="263">
      <x:c r="F263" s="24"/>
      <x:c r="G263" s="24"/>
      <x:c r="H263" s="24"/>
      <x:c r="I263" s="24"/>
    </x:row>
    <x:row r="264">
      <x:c r="F264" s="24"/>
      <x:c r="G264" s="24"/>
      <x:c r="H264" s="24"/>
      <x:c r="I264" s="24"/>
    </x:row>
    <x:row r="265">
      <x:c r="F265" s="24"/>
      <x:c r="G265" s="24"/>
      <x:c r="H265" s="24"/>
      <x:c r="I265" s="24"/>
    </x:row>
    <x:row r="266">
      <x:c r="F266" s="24"/>
      <x:c r="G266" s="24"/>
      <x:c r="H266" s="24"/>
      <x:c r="I266" s="24"/>
    </x:row>
    <x:row r="267">
      <x:c r="F267" s="24"/>
      <x:c r="G267" s="24"/>
      <x:c r="H267" s="24"/>
      <x:c r="I267" s="24"/>
    </x:row>
    <x:row r="268">
      <x:c r="F268" s="24"/>
      <x:c r="G268" s="24"/>
      <x:c r="H268" s="24"/>
      <x:c r="I268" s="24"/>
    </x:row>
    <x:row r="269">
      <x:c r="F269" s="24"/>
      <x:c r="G269" s="24"/>
      <x:c r="H269" s="24"/>
      <x:c r="I269" s="24"/>
    </x:row>
    <x:row r="270">
      <x:c r="F270" s="24"/>
      <x:c r="G270" s="24"/>
      <x:c r="H270" s="24"/>
      <x:c r="I270" s="24"/>
    </x:row>
    <x:row r="271">
      <x:c r="F271" s="24"/>
      <x:c r="G271" s="24"/>
      <x:c r="H271" s="24"/>
      <x:c r="I271" s="24"/>
    </x:row>
    <x:row r="272">
      <x:c r="F272" s="24"/>
      <x:c r="G272" s="24"/>
      <x:c r="H272" s="24"/>
      <x:c r="I272" s="24"/>
    </x:row>
    <x:row r="273">
      <x:c r="F273" s="24"/>
      <x:c r="G273" s="24"/>
      <x:c r="H273" s="24"/>
      <x:c r="I273" s="24"/>
    </x:row>
    <x:row r="274">
      <x:c r="F274" s="24"/>
      <x:c r="G274" s="24"/>
      <x:c r="H274" s="24"/>
      <x:c r="I274" s="24"/>
    </x:row>
    <x:row r="275">
      <x:c r="F275" s="24"/>
      <x:c r="G275" s="24"/>
      <x:c r="H275" s="24"/>
      <x:c r="I275" s="24"/>
    </x:row>
    <x:row r="276">
      <x:c r="F276" s="24"/>
      <x:c r="G276" s="24"/>
      <x:c r="H276" s="24"/>
      <x:c r="I276" s="24"/>
    </x:row>
    <x:row r="277">
      <x:c r="F277" s="24"/>
      <x:c r="G277" s="24"/>
      <x:c r="H277" s="24"/>
      <x:c r="I277" s="24"/>
    </x:row>
    <x:row r="278">
      <x:c r="F278" s="24"/>
      <x:c r="G278" s="24"/>
      <x:c r="H278" s="24"/>
      <x:c r="I278" s="24"/>
    </x:row>
    <x:row r="279">
      <x:c r="F279" s="24"/>
      <x:c r="G279" s="24"/>
      <x:c r="H279" s="24"/>
      <x:c r="I279" s="24"/>
    </x:row>
    <x:row r="280">
      <x:c r="F280" s="24"/>
      <x:c r="G280" s="24"/>
      <x:c r="H280" s="24"/>
      <x:c r="I280" s="24"/>
    </x:row>
    <x:row r="281">
      <x:c r="F281" s="24"/>
      <x:c r="G281" s="24"/>
      <x:c r="H281" s="24"/>
      <x:c r="I281" s="24"/>
    </x:row>
    <x:row r="282">
      <x:c r="F282" s="24"/>
      <x:c r="G282" s="24"/>
      <x:c r="H282" s="24"/>
      <x:c r="I282" s="24"/>
    </x:row>
    <x:row r="283">
      <x:c r="F283" s="24"/>
      <x:c r="G283" s="24"/>
      <x:c r="H283" s="24"/>
      <x:c r="I283" s="24"/>
    </x:row>
    <x:row r="284">
      <x:c r="F284" s="24"/>
      <x:c r="G284" s="24"/>
      <x:c r="H284" s="24"/>
      <x:c r="I284" s="24"/>
    </x:row>
    <x:row r="285">
      <x:c r="F285" s="24"/>
      <x:c r="G285" s="24"/>
      <x:c r="H285" s="24"/>
      <x:c r="I285" s="24"/>
    </x:row>
    <x:row r="286">
      <x:c r="F286" s="24"/>
      <x:c r="G286" s="24"/>
      <x:c r="H286" s="24"/>
      <x:c r="I286" s="24"/>
    </x:row>
    <x:row r="287">
      <x:c r="F287" s="24"/>
      <x:c r="G287" s="24"/>
      <x:c r="H287" s="24"/>
      <x:c r="I287" s="24"/>
    </x:row>
    <x:row r="288">
      <x:c r="F288" s="24"/>
      <x:c r="G288" s="24"/>
      <x:c r="H288" s="24"/>
      <x:c r="I288" s="24"/>
    </x:row>
    <x:row r="289">
      <x:c r="F289" s="24"/>
      <x:c r="G289" s="24"/>
      <x:c r="H289" s="24"/>
      <x:c r="I289" s="24"/>
    </x:row>
    <x:row r="290">
      <x:c r="F290" s="24"/>
      <x:c r="G290" s="24"/>
      <x:c r="H290" s="24"/>
      <x:c r="I290" s="24"/>
    </x:row>
    <x:row r="291">
      <x:c r="F291" s="24"/>
      <x:c r="G291" s="24"/>
      <x:c r="H291" s="24"/>
      <x:c r="I291" s="24"/>
    </x:row>
    <x:row r="292">
      <x:c r="F292" s="24"/>
      <x:c r="G292" s="24"/>
      <x:c r="H292" s="24"/>
      <x:c r="I292" s="24"/>
    </x:row>
    <x:row r="293">
      <x:c r="F293" s="24"/>
      <x:c r="G293" s="24"/>
      <x:c r="H293" s="24"/>
      <x:c r="I293" s="24"/>
    </x:row>
    <x:row r="294">
      <x:c r="F294" s="24"/>
      <x:c r="G294" s="24"/>
      <x:c r="H294" s="24"/>
      <x:c r="I294" s="24"/>
    </x:row>
    <x:row r="295">
      <x:c r="F295" s="24"/>
      <x:c r="G295" s="24"/>
      <x:c r="H295" s="24"/>
      <x:c r="I295" s="24"/>
    </x:row>
    <x:row r="296">
      <x:c r="F296" s="24"/>
      <x:c r="G296" s="24"/>
      <x:c r="H296" s="24"/>
      <x:c r="I296" s="24"/>
    </x:row>
    <x:row r="297">
      <x:c r="F297" s="24"/>
      <x:c r="G297" s="24"/>
      <x:c r="H297" s="24"/>
      <x:c r="I297" s="24"/>
    </x:row>
    <x:row r="298">
      <x:c r="F298" s="24"/>
      <x:c r="G298" s="24"/>
      <x:c r="H298" s="24"/>
      <x:c r="I298" s="24"/>
    </x:row>
    <x:row r="299">
      <x:c r="F299" s="24"/>
      <x:c r="G299" s="24"/>
      <x:c r="H299" s="24"/>
      <x:c r="I299" s="24"/>
    </x:row>
    <x:row r="300">
      <x:c r="F300" s="24"/>
      <x:c r="G300" s="24"/>
      <x:c r="H300" s="24"/>
      <x:c r="I300" s="24"/>
    </x:row>
  </x:sheetData>
  <x:conditionalFormatting sqref="H2:H83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9eec663df0f4b4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24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5" t="str">
        <x:v>comparison_id</x:v>
      </x:c>
      <x:c r="B1" s="5" t="str">
        <x:v>poll_id</x:v>
      </x:c>
      <x:c r="C1" s="5" t="str">
        <x:v>election_id</x:v>
      </x:c>
      <x:c r="D1" s="5" t="str">
        <x:v>party_or_category</x:v>
      </x:c>
      <x:c r="E1" s="5" t="str">
        <x:v>poll_share</x:v>
      </x:c>
      <x:c r="F1" s="5" t="str">
        <x:v>actual_share</x:v>
      </x:c>
      <x:c r="G1" s="5" t="str">
        <x:v>signed_error</x:v>
      </x:c>
      <x:c r="H1" s="5" t="str">
        <x:v>absolute_error</x:v>
      </x:c>
      <x:c r="I1" s="5" t="str">
        <x:v>squared_error</x:v>
      </x:c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C001</x:v>
      </x:c>
      <x:c r="B2" t="str">
        <x:v>P001</x:v>
      </x:c>
      <x:c r="C2" t="str">
        <x:v>DE_RP_2026</x:v>
      </x:c>
      <x:c r="D2" t="str">
        <x:v>CDU</x:v>
      </x:c>
      <x:c r="E2" s="24" t="n">
        <x:v>29</x:v>
      </x:c>
      <x:c r="F2" s="24" t="n">
        <x:v>31</x:v>
      </x:c>
      <x:c r="G2" s="24" t="n">
        <x:f>E2-F2</x:f>
        <x:v>-2</x:v>
      </x:c>
      <x:c r="H2" s="24" t="n">
        <x:f>ABS(G2)</x:f>
        <x:v>2</x:v>
      </x:c>
      <x:c r="I2" s="24" t="n">
        <x:f>G2^2</x:f>
        <x:v>4</x:v>
      </x:c>
    </x:row>
    <x:row r="3">
      <x:c r="A3" t="str">
        <x:v>C001</x:v>
      </x:c>
      <x:c r="B3" t="str">
        <x:v>P001</x:v>
      </x:c>
      <x:c r="C3" t="str">
        <x:v>DE_RP_2026</x:v>
      </x:c>
      <x:c r="D3" t="str">
        <x:v>SPD</x:v>
      </x:c>
      <x:c r="E3" s="24" t="n">
        <x:v>27</x:v>
      </x:c>
      <x:c r="F3" s="24" t="n">
        <x:v>25.9</x:v>
      </x:c>
      <x:c r="G3" s="24" t="n">
        <x:f>E3-F3</x:f>
        <x:v>1.1000000000000014</x:v>
      </x:c>
      <x:c r="H3" s="24" t="n">
        <x:f>ABS(G3)</x:f>
        <x:v>1.1000000000000014</x:v>
      </x:c>
      <x:c r="I3" s="24" t="n">
        <x:f>G3^2</x:f>
        <x:v>1.210000000000003</x:v>
      </x:c>
    </x:row>
    <x:row r="4">
      <x:c r="A4" t="str">
        <x:v>C001</x:v>
      </x:c>
      <x:c r="B4" t="str">
        <x:v>P001</x:v>
      </x:c>
      <x:c r="C4" t="str">
        <x:v>DE_RP_2026</x:v>
      </x:c>
      <x:c r="D4" t="str">
        <x:v>GRÜNE</x:v>
      </x:c>
      <x:c r="E4" s="24" t="n">
        <x:v>9</x:v>
      </x:c>
      <x:c r="F4" s="24" t="n">
        <x:v>7.9</x:v>
      </x:c>
      <x:c r="G4" s="24" t="n">
        <x:f>E4-F4</x:f>
        <x:v>1.0999999999999996</x:v>
      </x:c>
      <x:c r="H4" s="24" t="n">
        <x:f>ABS(G4)</x:f>
        <x:v>1.0999999999999996</x:v>
      </x:c>
      <x:c r="I4" s="24" t="n">
        <x:f>G4^2</x:f>
        <x:v>1.2099999999999993</x:v>
      </x:c>
    </x:row>
    <x:row r="5">
      <x:c r="A5" t="str">
        <x:v>C001</x:v>
      </x:c>
      <x:c r="B5" t="str">
        <x:v>P001</x:v>
      </x:c>
      <x:c r="C5" t="str">
        <x:v>DE_RP_2026</x:v>
      </x:c>
      <x:c r="D5" t="str">
        <x:v>LINKE</x:v>
      </x:c>
      <x:c r="E5" s="24" t="n">
        <x:v>5</x:v>
      </x:c>
      <x:c r="F5" s="24" t="n">
        <x:v>4.4</x:v>
      </x:c>
      <x:c r="G5" s="24" t="n">
        <x:f>E5-F5</x:f>
        <x:v>0.5999999999999996</x:v>
      </x:c>
      <x:c r="H5" s="24" t="n">
        <x:f>ABS(G5)</x:f>
        <x:v>0.5999999999999996</x:v>
      </x:c>
      <x:c r="I5" s="24" t="n">
        <x:f>G5^2</x:f>
        <x:v>0.3599999999999996</x:v>
      </x:c>
    </x:row>
    <x:row r="6">
      <x:c r="A6" t="str">
        <x:v>C001</x:v>
      </x:c>
      <x:c r="B6" t="str">
        <x:v>P001</x:v>
      </x:c>
      <x:c r="C6" t="str">
        <x:v>DE_RP_2026</x:v>
      </x:c>
      <x:c r="D6" t="str">
        <x:v>AfD</x:v>
      </x:c>
      <x:c r="E6" s="24" t="n">
        <x:v>19</x:v>
      </x:c>
      <x:c r="F6" s="24" t="n">
        <x:v>19</x:v>
      </x:c>
      <x:c r="G6" s="24" t="n">
        <x:f>E6-F6</x:f>
        <x:v>0</x:v>
      </x:c>
      <x:c r="H6" s="24" t="n">
        <x:f>ABS(G6)</x:f>
        <x:v>0</x:v>
      </x:c>
      <x:c r="I6" s="24" t="n">
        <x:f>G6^2</x:f>
        <x:v>0</x:v>
      </x:c>
    </x:row>
    <x:row r="7">
      <x:c r="A7" t="str">
        <x:v>C001</x:v>
      </x:c>
      <x:c r="B7" t="str">
        <x:v>P001</x:v>
      </x:c>
      <x:c r="C7" t="str">
        <x:v>DE_RP_2026</x:v>
      </x:c>
      <x:c r="D7" t="str">
        <x:v>Freie Wähler</x:v>
      </x:c>
      <x:c r="E7" s="24" t="n">
        <x:v>4.5</x:v>
      </x:c>
      <x:c r="F7" s="24" t="n">
        <x:v>4.5</x:v>
      </x:c>
      <x:c r="G7" s="24" t="n">
        <x:f>E7-F7</x:f>
        <x:v>0</x:v>
      </x:c>
      <x:c r="H7" s="24" t="n">
        <x:f>ABS(G7)</x:f>
        <x:v>0</x:v>
      </x:c>
      <x:c r="I7" s="24" t="n">
        <x:f>G7^2</x:f>
        <x:v>0</x:v>
      </x:c>
    </x:row>
    <x:row r="8">
      <x:c r="A8" t="str">
        <x:v>C001</x:v>
      </x:c>
      <x:c r="B8" t="str">
        <x:v>P001</x:v>
      </x:c>
      <x:c r="C8" t="str">
        <x:v>DE_RP_2026</x:v>
      </x:c>
      <x:c r="D8" t="str">
        <x:v>Sonstige</x:v>
      </x:c>
      <x:c r="E8" s="24" t="n">
        <x:v>6.5</x:v>
      </x:c>
      <x:c r="F8" s="24" t="n">
        <x:v>7.1</x:v>
      </x:c>
      <x:c r="G8" s="24" t="n">
        <x:f>E8-F8</x:f>
        <x:v>-0.5999999999999996</x:v>
      </x:c>
      <x:c r="H8" s="24" t="n">
        <x:f>ABS(G8)</x:f>
        <x:v>0.5999999999999996</x:v>
      </x:c>
      <x:c r="I8" s="24" t="n">
        <x:f>G8^2</x:f>
        <x:v>0.3599999999999996</x:v>
      </x:c>
    </x:row>
    <x:row r="9">
      <x:c r="A9" t="str">
        <x:v>C002</x:v>
      </x:c>
      <x:c r="B9" t="str">
        <x:v>P002</x:v>
      </x:c>
      <x:c r="C9" t="str">
        <x:v>DE_RP_2026</x:v>
      </x:c>
      <x:c r="D9" t="str">
        <x:v>CDU</x:v>
      </x:c>
      <x:c r="E9" s="24" t="n">
        <x:v>29</x:v>
      </x:c>
      <x:c r="F9" s="24" t="n">
        <x:v>31</x:v>
      </x:c>
      <x:c r="G9" s="24" t="n">
        <x:f>E9-F9</x:f>
        <x:v>-2</x:v>
      </x:c>
      <x:c r="H9" s="24" t="n">
        <x:f>ABS(G9)</x:f>
        <x:v>2</x:v>
      </x:c>
      <x:c r="I9" s="24" t="n">
        <x:f>G9^2</x:f>
        <x:v>4</x:v>
      </x:c>
    </x:row>
    <x:row r="10">
      <x:c r="A10" t="str">
        <x:v>C002</x:v>
      </x:c>
      <x:c r="B10" t="str">
        <x:v>P002</x:v>
      </x:c>
      <x:c r="C10" t="str">
        <x:v>DE_RP_2026</x:v>
      </x:c>
      <x:c r="D10" t="str">
        <x:v>SPD</x:v>
      </x:c>
      <x:c r="E10" s="24" t="n">
        <x:v>28</x:v>
      </x:c>
      <x:c r="F10" s="24" t="n">
        <x:v>25.9</x:v>
      </x:c>
      <x:c r="G10" s="24" t="n">
        <x:f>E10-F10</x:f>
        <x:v>2.1000000000000014</x:v>
      </x:c>
      <x:c r="H10" s="24" t="n">
        <x:f>ABS(G10)</x:f>
        <x:v>2.1000000000000014</x:v>
      </x:c>
      <x:c r="I10" s="24" t="n">
        <x:f>G10^2</x:f>
        <x:v>4.410000000000006</x:v>
      </x:c>
    </x:row>
    <x:row r="11">
      <x:c r="A11" t="str">
        <x:v>C002</x:v>
      </x:c>
      <x:c r="B11" t="str">
        <x:v>P002</x:v>
      </x:c>
      <x:c r="C11" t="str">
        <x:v>DE_RP_2026</x:v>
      </x:c>
      <x:c r="D11" t="str">
        <x:v>GRÜNE</x:v>
      </x:c>
      <x:c r="E11" s="24" t="n">
        <x:v>8</x:v>
      </x:c>
      <x:c r="F11" s="24" t="n">
        <x:v>7.9</x:v>
      </x:c>
      <x:c r="G11" s="24" t="n">
        <x:f>E11-F11</x:f>
        <x:v>0.09999999999999964</x:v>
      </x:c>
      <x:c r="H11" s="24" t="n">
        <x:f>ABS(G11)</x:f>
        <x:v>0.09999999999999964</x:v>
      </x:c>
      <x:c r="I11" s="24" t="n">
        <x:f>G11^2</x:f>
        <x:v>0.009999999999999929</x:v>
      </x:c>
    </x:row>
    <x:row r="12">
      <x:c r="A12" t="str">
        <x:v>C002</x:v>
      </x:c>
      <x:c r="B12" t="str">
        <x:v>P002</x:v>
      </x:c>
      <x:c r="C12" t="str">
        <x:v>DE_RP_2026</x:v>
      </x:c>
      <x:c r="D12" t="str">
        <x:v>LINKE</x:v>
      </x:c>
      <x:c r="E12" s="24" t="n">
        <x:v>5</x:v>
      </x:c>
      <x:c r="F12" s="24" t="n">
        <x:v>4.4</x:v>
      </x:c>
      <x:c r="G12" s="24" t="n">
        <x:f>E12-F12</x:f>
        <x:v>0.5999999999999996</x:v>
      </x:c>
      <x:c r="H12" s="24" t="n">
        <x:f>ABS(G12)</x:f>
        <x:v>0.5999999999999996</x:v>
      </x:c>
      <x:c r="I12" s="24" t="n">
        <x:f>G12^2</x:f>
        <x:v>0.3599999999999996</x:v>
      </x:c>
    </x:row>
    <x:row r="13">
      <x:c r="A13" t="str">
        <x:v>C002</x:v>
      </x:c>
      <x:c r="B13" t="str">
        <x:v>P002</x:v>
      </x:c>
      <x:c r="C13" t="str">
        <x:v>DE_RP_2026</x:v>
      </x:c>
      <x:c r="D13" t="str">
        <x:v>AfD</x:v>
      </x:c>
      <x:c r="E13" s="24" t="n">
        <x:v>19</x:v>
      </x:c>
      <x:c r="F13" s="24" t="n">
        <x:v>19</x:v>
      </x:c>
      <x:c r="G13" s="24" t="n">
        <x:f>E13-F13</x:f>
        <x:v>0</x:v>
      </x:c>
      <x:c r="H13" s="24" t="n">
        <x:f>ABS(G13)</x:f>
        <x:v>0</x:v>
      </x:c>
      <x:c r="I13" s="24" t="n">
        <x:f>G13^2</x:f>
        <x:v>0</x:v>
      </x:c>
    </x:row>
    <x:row r="14">
      <x:c r="A14" t="str">
        <x:v>C002</x:v>
      </x:c>
      <x:c r="B14" t="str">
        <x:v>P002</x:v>
      </x:c>
      <x:c r="C14" t="str">
        <x:v>DE_RP_2026</x:v>
      </x:c>
      <x:c r="D14" t="str">
        <x:v>Freie Wähler</x:v>
      </x:c>
      <x:c r="E14" s="24" t="n">
        <x:v>4.5</x:v>
      </x:c>
      <x:c r="F14" s="24" t="n">
        <x:v>4.5</x:v>
      </x:c>
      <x:c r="G14" s="24" t="n">
        <x:f>E14-F14</x:f>
        <x:v>0</x:v>
      </x:c>
      <x:c r="H14" s="24" t="n">
        <x:f>ABS(G14)</x:f>
        <x:v>0</x:v>
      </x:c>
      <x:c r="I14" s="24" t="n">
        <x:f>G14^2</x:f>
        <x:v>0</x:v>
      </x:c>
    </x:row>
    <x:row r="15">
      <x:c r="A15" t="str">
        <x:v>C002</x:v>
      </x:c>
      <x:c r="B15" t="str">
        <x:v>P002</x:v>
      </x:c>
      <x:c r="C15" t="str">
        <x:v>DE_RP_2026</x:v>
      </x:c>
      <x:c r="D15" t="str">
        <x:v>Sonstige</x:v>
      </x:c>
      <x:c r="E15" s="24" t="n">
        <x:v>6.5</x:v>
      </x:c>
      <x:c r="F15" s="24" t="n">
        <x:v>7.1</x:v>
      </x:c>
      <x:c r="G15" s="24" t="n">
        <x:f>E15-F15</x:f>
        <x:v>-0.5999999999999996</x:v>
      </x:c>
      <x:c r="H15" s="24" t="n">
        <x:f>ABS(G15)</x:f>
        <x:v>0.5999999999999996</x:v>
      </x:c>
      <x:c r="I15" s="24" t="n">
        <x:f>G15^2</x:f>
        <x:v>0.3599999999999996</x:v>
      </x:c>
    </x:row>
    <x:row r="16">
      <x:c r="A16" t="str">
        <x:v>C003</x:v>
      </x:c>
      <x:c r="B16" t="str">
        <x:v>P003</x:v>
      </x:c>
      <x:c r="C16" t="str">
        <x:v>DE_RP_2026</x:v>
      </x:c>
      <x:c r="D16" t="str">
        <x:v>CDU</x:v>
      </x:c>
      <x:c r="E16" s="24" t="n">
        <x:v>28</x:v>
      </x:c>
      <x:c r="F16" s="24" t="n">
        <x:v>31</x:v>
      </x:c>
      <x:c r="G16" s="24" t="n">
        <x:f>E16-F16</x:f>
        <x:v>-3</x:v>
      </x:c>
      <x:c r="H16" s="24" t="n">
        <x:f>ABS(G16)</x:f>
        <x:v>3</x:v>
      </x:c>
      <x:c r="I16" s="24" t="n">
        <x:f>G16^2</x:f>
        <x:v>9</x:v>
      </x:c>
    </x:row>
    <x:row r="17">
      <x:c r="A17" t="str">
        <x:v>C003</x:v>
      </x:c>
      <x:c r="B17" t="str">
        <x:v>P003</x:v>
      </x:c>
      <x:c r="C17" t="str">
        <x:v>DE_RP_2026</x:v>
      </x:c>
      <x:c r="D17" t="str">
        <x:v>SPD</x:v>
      </x:c>
      <x:c r="E17" s="24" t="n">
        <x:v>27</x:v>
      </x:c>
      <x:c r="F17" s="24" t="n">
        <x:v>25.9</x:v>
      </x:c>
      <x:c r="G17" s="24" t="n">
        <x:f>E17-F17</x:f>
        <x:v>1.1000000000000014</x:v>
      </x:c>
      <x:c r="H17" s="24" t="n">
        <x:f>ABS(G17)</x:f>
        <x:v>1.1000000000000014</x:v>
      </x:c>
      <x:c r="I17" s="24" t="n">
        <x:f>G17^2</x:f>
        <x:v>1.210000000000003</x:v>
      </x:c>
    </x:row>
    <x:row r="18">
      <x:c r="A18" t="str">
        <x:v>C003</x:v>
      </x:c>
      <x:c r="B18" t="str">
        <x:v>P003</x:v>
      </x:c>
      <x:c r="C18" t="str">
        <x:v>DE_RP_2026</x:v>
      </x:c>
      <x:c r="D18" t="str">
        <x:v>GRÜNE</x:v>
      </x:c>
      <x:c r="E18" s="24" t="n">
        <x:v>9</x:v>
      </x:c>
      <x:c r="F18" s="24" t="n">
        <x:v>7.9</x:v>
      </x:c>
      <x:c r="G18" s="24" t="n">
        <x:f>E18-F18</x:f>
        <x:v>1.0999999999999996</x:v>
      </x:c>
      <x:c r="H18" s="24" t="n">
        <x:f>ABS(G18)</x:f>
        <x:v>1.0999999999999996</x:v>
      </x:c>
      <x:c r="I18" s="24" t="n">
        <x:f>G18^2</x:f>
        <x:v>1.2099999999999993</x:v>
      </x:c>
    </x:row>
    <x:row r="19">
      <x:c r="A19" t="str">
        <x:v>C003</x:v>
      </x:c>
      <x:c r="B19" t="str">
        <x:v>P003</x:v>
      </x:c>
      <x:c r="C19" t="str">
        <x:v>DE_RP_2026</x:v>
      </x:c>
      <x:c r="D19" t="str">
        <x:v>LINKE</x:v>
      </x:c>
      <x:c r="E19" s="24" t="n">
        <x:v>5</x:v>
      </x:c>
      <x:c r="F19" s="24" t="n">
        <x:v>4.4</x:v>
      </x:c>
      <x:c r="G19" s="24" t="n">
        <x:f>E19-F19</x:f>
        <x:v>0.5999999999999996</x:v>
      </x:c>
      <x:c r="H19" s="24" t="n">
        <x:f>ABS(G19)</x:f>
        <x:v>0.5999999999999996</x:v>
      </x:c>
      <x:c r="I19" s="24" t="n">
        <x:f>G19^2</x:f>
        <x:v>0.3599999999999996</x:v>
      </x:c>
    </x:row>
    <x:row r="20">
      <x:c r="A20" t="str">
        <x:v>C003</x:v>
      </x:c>
      <x:c r="B20" t="str">
        <x:v>P003</x:v>
      </x:c>
      <x:c r="C20" t="str">
        <x:v>DE_RP_2026</x:v>
      </x:c>
      <x:c r="D20" t="str">
        <x:v>AfD</x:v>
      </x:c>
      <x:c r="E20" s="24" t="n">
        <x:v>20</x:v>
      </x:c>
      <x:c r="F20" s="24" t="n">
        <x:v>19</x:v>
      </x:c>
      <x:c r="G20" s="24" t="n">
        <x:f>E20-F20</x:f>
        <x:v>1</x:v>
      </x:c>
      <x:c r="H20" s="24" t="n">
        <x:f>ABS(G20)</x:f>
        <x:v>1</x:v>
      </x:c>
      <x:c r="I20" s="24" t="n">
        <x:f>G20^2</x:f>
        <x:v>1</x:v>
      </x:c>
    </x:row>
    <x:row r="21">
      <x:c r="A21" t="str">
        <x:v>C003</x:v>
      </x:c>
      <x:c r="B21" t="str">
        <x:v>P003</x:v>
      </x:c>
      <x:c r="C21" t="str">
        <x:v>DE_RP_2026</x:v>
      </x:c>
      <x:c r="D21" t="str">
        <x:v>Freie Wähler</x:v>
      </x:c>
      <x:c r="E21" s="24" t="n">
        <x:v>5</x:v>
      </x:c>
      <x:c r="F21" s="24" t="n">
        <x:v>4.5</x:v>
      </x:c>
      <x:c r="G21" s="24" t="n">
        <x:f>E21-F21</x:f>
        <x:v>0.5</x:v>
      </x:c>
      <x:c r="H21" s="24" t="n">
        <x:f>ABS(G21)</x:f>
        <x:v>0.5</x:v>
      </x:c>
      <x:c r="I21" s="24" t="n">
        <x:f>G21^2</x:f>
        <x:v>0.25</x:v>
      </x:c>
    </x:row>
    <x:row r="22">
      <x:c r="A22" t="str">
        <x:v>C003</x:v>
      </x:c>
      <x:c r="B22" t="str">
        <x:v>P003</x:v>
      </x:c>
      <x:c r="C22" t="str">
        <x:v>DE_RP_2026</x:v>
      </x:c>
      <x:c r="D22" t="str">
        <x:v>Sonstige</x:v>
      </x:c>
      <x:c r="E22" s="24" t="n">
        <x:v>6</x:v>
      </x:c>
      <x:c r="F22" s="24" t="n">
        <x:v>7.1</x:v>
      </x:c>
      <x:c r="G22" s="24" t="n">
        <x:f>E22-F22</x:f>
        <x:v>-1.0999999999999996</x:v>
      </x:c>
      <x:c r="H22" s="24" t="n">
        <x:f>ABS(G22)</x:f>
        <x:v>1.0999999999999996</x:v>
      </x:c>
      <x:c r="I22" s="24" t="n">
        <x:f>G22^2</x:f>
        <x:v>1.2099999999999993</x:v>
      </x:c>
    </x:row>
    <x:row r="23">
      <x:c r="A23" t="str">
        <x:v>C004</x:v>
      </x:c>
      <x:c r="B23" t="str">
        <x:v>P004</x:v>
      </x:c>
      <x:c r="C23" t="str">
        <x:v>DE_RP_2026</x:v>
      </x:c>
      <x:c r="D23" t="str">
        <x:v>CDU</x:v>
      </x:c>
      <x:c r="E23" s="24" t="n">
        <x:v>29</x:v>
      </x:c>
      <x:c r="F23" s="24" t="n">
        <x:v>31</x:v>
      </x:c>
      <x:c r="G23" s="24" t="n">
        <x:f>E23-F23</x:f>
        <x:v>-2</x:v>
      </x:c>
      <x:c r="H23" s="24" t="n">
        <x:f>ABS(G23)</x:f>
        <x:v>2</x:v>
      </x:c>
      <x:c r="I23" s="24" t="n">
        <x:f>G23^2</x:f>
        <x:v>4</x:v>
      </x:c>
    </x:row>
    <x:row r="24">
      <x:c r="A24" t="str">
        <x:v>C004</x:v>
      </x:c>
      <x:c r="B24" t="str">
        <x:v>P004</x:v>
      </x:c>
      <x:c r="C24" t="str">
        <x:v>DE_RP_2026</x:v>
      </x:c>
      <x:c r="D24" t="str">
        <x:v>SPD</x:v>
      </x:c>
      <x:c r="E24" s="24" t="n">
        <x:v>28</x:v>
      </x:c>
      <x:c r="F24" s="24" t="n">
        <x:v>25.9</x:v>
      </x:c>
      <x:c r="G24" s="24" t="n">
        <x:f>E24-F24</x:f>
        <x:v>2.1000000000000014</x:v>
      </x:c>
      <x:c r="H24" s="24" t="n">
        <x:f>ABS(G24)</x:f>
        <x:v>2.1000000000000014</x:v>
      </x:c>
      <x:c r="I24" s="24" t="n">
        <x:f>G24^2</x:f>
        <x:v>4.410000000000006</x:v>
      </x:c>
    </x:row>
    <x:row r="25">
      <x:c r="A25" t="str">
        <x:v>C004</x:v>
      </x:c>
      <x:c r="B25" t="str">
        <x:v>P004</x:v>
      </x:c>
      <x:c r="C25" t="str">
        <x:v>DE_RP_2026</x:v>
      </x:c>
      <x:c r="D25" t="str">
        <x:v>GRÜNE</x:v>
      </x:c>
      <x:c r="E25" s="24" t="n">
        <x:v>9</x:v>
      </x:c>
      <x:c r="F25" s="24" t="n">
        <x:v>7.9</x:v>
      </x:c>
      <x:c r="G25" s="24" t="n">
        <x:f>E25-F25</x:f>
        <x:v>1.0999999999999996</x:v>
      </x:c>
      <x:c r="H25" s="24" t="n">
        <x:f>ABS(G25)</x:f>
        <x:v>1.0999999999999996</x:v>
      </x:c>
      <x:c r="I25" s="24" t="n">
        <x:f>G25^2</x:f>
        <x:v>1.2099999999999993</x:v>
      </x:c>
    </x:row>
    <x:row r="26">
      <x:c r="A26" t="str">
        <x:v>C004</x:v>
      </x:c>
      <x:c r="B26" t="str">
        <x:v>P004</x:v>
      </x:c>
      <x:c r="C26" t="str">
        <x:v>DE_RP_2026</x:v>
      </x:c>
      <x:c r="D26" t="str">
        <x:v>LINKE</x:v>
      </x:c>
      <x:c r="E26" s="24" t="n">
        <x:v>4</x:v>
      </x:c>
      <x:c r="F26" s="24" t="n">
        <x:v>4.4</x:v>
      </x:c>
      <x:c r="G26" s="24" t="n">
        <x:f>E26-F26</x:f>
        <x:v>-0.40000000000000036</x:v>
      </x:c>
      <x:c r="H26" s="24" t="n">
        <x:f>ABS(G26)</x:f>
        <x:v>0.40000000000000036</x:v>
      </x:c>
      <x:c r="I26" s="24" t="n">
        <x:f>G26^2</x:f>
        <x:v>0.16000000000000028</x:v>
      </x:c>
    </x:row>
    <x:row r="27">
      <x:c r="A27" t="str">
        <x:v>C004</x:v>
      </x:c>
      <x:c r="B27" t="str">
        <x:v>P004</x:v>
      </x:c>
      <x:c r="C27" t="str">
        <x:v>DE_RP_2026</x:v>
      </x:c>
      <x:c r="D27" t="str">
        <x:v>AfD</x:v>
      </x:c>
      <x:c r="E27" s="24" t="n">
        <x:v>20</x:v>
      </x:c>
      <x:c r="F27" s="24" t="n">
        <x:v>19</x:v>
      </x:c>
      <x:c r="G27" s="24" t="n">
        <x:f>E27-F27</x:f>
        <x:v>1</x:v>
      </x:c>
      <x:c r="H27" s="24" t="n">
        <x:f>ABS(G27)</x:f>
        <x:v>1</x:v>
      </x:c>
      <x:c r="I27" s="24" t="n">
        <x:f>G27^2</x:f>
        <x:v>1</x:v>
      </x:c>
    </x:row>
    <x:row r="28">
      <x:c r="A28" t="str">
        <x:v>C004</x:v>
      </x:c>
      <x:c r="B28" t="str">
        <x:v>P004</x:v>
      </x:c>
      <x:c r="C28" t="str">
        <x:v>DE_RP_2026</x:v>
      </x:c>
      <x:c r="D28" t="str">
        <x:v>Freie Wähler</x:v>
      </x:c>
      <x:c r="E28" s="24" t="n">
        <x:v>5</x:v>
      </x:c>
      <x:c r="F28" s="24" t="n">
        <x:v>4.5</x:v>
      </x:c>
      <x:c r="G28" s="24" t="n">
        <x:f>E28-F28</x:f>
        <x:v>0.5</x:v>
      </x:c>
      <x:c r="H28" s="24" t="n">
        <x:f>ABS(G28)</x:f>
        <x:v>0.5</x:v>
      </x:c>
      <x:c r="I28" s="24" t="n">
        <x:f>G28^2</x:f>
        <x:v>0.25</x:v>
      </x:c>
    </x:row>
    <x:row r="29">
      <x:c r="A29" t="str">
        <x:v>C004</x:v>
      </x:c>
      <x:c r="B29" t="str">
        <x:v>P004</x:v>
      </x:c>
      <x:c r="C29" t="str">
        <x:v>DE_RP_2026</x:v>
      </x:c>
      <x:c r="D29" t="str">
        <x:v>Sonstige</x:v>
      </x:c>
      <x:c r="E29" s="24" t="n">
        <x:v>5</x:v>
      </x:c>
      <x:c r="F29" s="24" t="n">
        <x:v>7.1</x:v>
      </x:c>
      <x:c r="G29" s="24" t="n">
        <x:f>E29-F29</x:f>
        <x:v>-2.0999999999999996</x:v>
      </x:c>
      <x:c r="H29" s="24" t="n">
        <x:f>ABS(G29)</x:f>
        <x:v>2.0999999999999996</x:v>
      </x:c>
      <x:c r="I29" s="24" t="n">
        <x:f>G29^2</x:f>
        <x:v>4.409999999999998</x:v>
      </x:c>
    </x:row>
    <x:row r="30">
      <x:c r="A30" t="str">
        <x:v>C005</x:v>
      </x:c>
      <x:c r="B30" t="str">
        <x:v>P005</x:v>
      </x:c>
      <x:c r="C30" t="str">
        <x:v>DE_HH_2025</x:v>
      </x:c>
      <x:c r="D30" t="str">
        <x:v>CDU</x:v>
      </x:c>
      <x:c r="E30" s="24" t="n">
        <x:v>18</x:v>
      </x:c>
      <x:c r="F30" s="24" t="n">
        <x:v>19.8</x:v>
      </x:c>
      <x:c r="G30" s="24" t="n">
        <x:f>E30-F30</x:f>
        <x:v>-1.8000000000000007</x:v>
      </x:c>
      <x:c r="H30" s="24" t="n">
        <x:f>ABS(G30)</x:f>
        <x:v>1.8000000000000007</x:v>
      </x:c>
      <x:c r="I30" s="24" t="n">
        <x:f>G30^2</x:f>
        <x:v>3.2400000000000024</x:v>
      </x:c>
    </x:row>
    <x:row r="31">
      <x:c r="A31" t="str">
        <x:v>C005</x:v>
      </x:c>
      <x:c r="B31" t="str">
        <x:v>P005</x:v>
      </x:c>
      <x:c r="C31" t="str">
        <x:v>DE_HH_2025</x:v>
      </x:c>
      <x:c r="D31" t="str">
        <x:v>SPD</x:v>
      </x:c>
      <x:c r="E31" s="24" t="n">
        <x:v>33</x:v>
      </x:c>
      <x:c r="F31" s="24" t="n">
        <x:v>33.5</x:v>
      </x:c>
      <x:c r="G31" s="24" t="n">
        <x:f>E31-F31</x:f>
        <x:v>-0.5</x:v>
      </x:c>
      <x:c r="H31" s="24" t="n">
        <x:f>ABS(G31)</x:f>
        <x:v>0.5</x:v>
      </x:c>
      <x:c r="I31" s="24" t="n">
        <x:f>G31^2</x:f>
        <x:v>0.25</x:v>
      </x:c>
    </x:row>
    <x:row r="32">
      <x:c r="A32" t="str">
        <x:v>C005</x:v>
      </x:c>
      <x:c r="B32" t="str">
        <x:v>P005</x:v>
      </x:c>
      <x:c r="C32" t="str">
        <x:v>DE_HH_2025</x:v>
      </x:c>
      <x:c r="D32" t="str">
        <x:v>GRÜNE</x:v>
      </x:c>
      <x:c r="E32" s="24" t="n">
        <x:v>17</x:v>
      </x:c>
      <x:c r="F32" s="24" t="n">
        <x:v>18.5</x:v>
      </x:c>
      <x:c r="G32" s="24" t="n">
        <x:f>E32-F32</x:f>
        <x:v>-1.5</x:v>
      </x:c>
      <x:c r="H32" s="24" t="n">
        <x:f>ABS(G32)</x:f>
        <x:v>1.5</x:v>
      </x:c>
      <x:c r="I32" s="24" t="n">
        <x:f>G32^2</x:f>
        <x:v>2.25</x:v>
      </x:c>
    </x:row>
    <x:row r="33">
      <x:c r="A33" t="str">
        <x:v>C005</x:v>
      </x:c>
      <x:c r="B33" t="str">
        <x:v>P005</x:v>
      </x:c>
      <x:c r="C33" t="str">
        <x:v>DE_HH_2025</x:v>
      </x:c>
      <x:c r="D33" t="str">
        <x:v>LINKE</x:v>
      </x:c>
      <x:c r="E33" s="24" t="n">
        <x:v>12</x:v>
      </x:c>
      <x:c r="F33" s="24" t="n">
        <x:v>11.2</x:v>
      </x:c>
      <x:c r="G33" s="24" t="n">
        <x:f>E33-F33</x:f>
        <x:v>0.8000000000000007</x:v>
      </x:c>
      <x:c r="H33" s="24" t="n">
        <x:f>ABS(G33)</x:f>
        <x:v>0.8000000000000007</x:v>
      </x:c>
      <x:c r="I33" s="24" t="n">
        <x:f>G33^2</x:f>
        <x:v>0.6400000000000011</x:v>
      </x:c>
    </x:row>
    <x:row r="34">
      <x:c r="A34" t="str">
        <x:v>C005</x:v>
      </x:c>
      <x:c r="B34" t="str">
        <x:v>P005</x:v>
      </x:c>
      <x:c r="C34" t="str">
        <x:v>DE_HH_2025</x:v>
      </x:c>
      <x:c r="D34" t="str">
        <x:v>AfD</x:v>
      </x:c>
      <x:c r="E34" s="24" t="n">
        <x:v>9</x:v>
      </x:c>
      <x:c r="F34" s="24" t="n">
        <x:v>7.5</x:v>
      </x:c>
      <x:c r="G34" s="24" t="n">
        <x:f>E34-F34</x:f>
        <x:v>1.5</x:v>
      </x:c>
      <x:c r="H34" s="24" t="n">
        <x:f>ABS(G34)</x:f>
        <x:v>1.5</x:v>
      </x:c>
      <x:c r="I34" s="24" t="n">
        <x:f>G34^2</x:f>
        <x:v>2.25</x:v>
      </x:c>
    </x:row>
    <x:row r="35">
      <x:c r="A35" t="str">
        <x:v>C005</x:v>
      </x:c>
      <x:c r="B35" t="str">
        <x:v>P005</x:v>
      </x:c>
      <x:c r="C35" t="str">
        <x:v>DE_HH_2025</x:v>
      </x:c>
      <x:c r="D35" t="str">
        <x:v>Volt</x:v>
      </x:c>
      <x:c r="E35" s="24" t="n">
        <x:v>3</x:v>
      </x:c>
      <x:c r="F35" s="24" t="n">
        <x:v>3.2</x:v>
      </x:c>
      <x:c r="G35" s="24" t="n">
        <x:f>E35-F35</x:f>
        <x:v>-0.20000000000000018</x:v>
      </x:c>
      <x:c r="H35" s="24" t="n">
        <x:f>ABS(G35)</x:f>
        <x:v>0.20000000000000018</x:v>
      </x:c>
      <x:c r="I35" s="24" t="n">
        <x:f>G35^2</x:f>
        <x:v>0.04000000000000007</x:v>
      </x:c>
    </x:row>
    <x:row r="36">
      <x:c r="A36" t="str">
        <x:v>C005</x:v>
      </x:c>
      <x:c r="B36" t="str">
        <x:v>P005</x:v>
      </x:c>
      <x:c r="C36" t="str">
        <x:v>DE_HH_2025</x:v>
      </x:c>
      <x:c r="D36" t="str">
        <x:v>Sonstige inkl. FDP+BSW</x:v>
      </x:c>
      <x:c r="E36" s="24" t="n">
        <x:v>8</x:v>
      </x:c>
      <x:c r="F36" s="24" t="n">
        <x:v>6.3</x:v>
      </x:c>
      <x:c r="G36" s="24" t="n">
        <x:f>E36-F36</x:f>
        <x:v>1.7000000000000002</x:v>
      </x:c>
      <x:c r="H36" s="24" t="n">
        <x:f>ABS(G36)</x:f>
        <x:v>1.7000000000000002</x:v>
      </x:c>
      <x:c r="I36" s="24" t="n">
        <x:f>G36^2</x:f>
        <x:v>2.8900000000000006</x:v>
      </x:c>
    </x:row>
    <x:row r="37">
      <x:c r="A37" t="str">
        <x:v>C006</x:v>
      </x:c>
      <x:c r="B37" t="str">
        <x:v>P006</x:v>
      </x:c>
      <x:c r="C37" t="str">
        <x:v>DE_HH_2025</x:v>
      </x:c>
      <x:c r="D37" t="str">
        <x:v>CDU</x:v>
      </x:c>
      <x:c r="E37" s="24" t="n">
        <x:v>17</x:v>
      </x:c>
      <x:c r="F37" s="24" t="n">
        <x:v>19.8</x:v>
      </x:c>
      <x:c r="G37" s="24" t="n">
        <x:f>E37-F37</x:f>
        <x:v>-2.8000000000000007</x:v>
      </x:c>
      <x:c r="H37" s="24" t="n">
        <x:f>ABS(G37)</x:f>
        <x:v>2.8000000000000007</x:v>
      </x:c>
      <x:c r="I37" s="24" t="n">
        <x:f>G37^2</x:f>
        <x:v>7.840000000000004</x:v>
      </x:c>
    </x:row>
    <x:row r="38">
      <x:c r="A38" t="str">
        <x:v>C006</x:v>
      </x:c>
      <x:c r="B38" t="str">
        <x:v>P006</x:v>
      </x:c>
      <x:c r="C38" t="str">
        <x:v>DE_HH_2025</x:v>
      </x:c>
      <x:c r="D38" t="str">
        <x:v>SPD</x:v>
      </x:c>
      <x:c r="E38" s="24" t="n">
        <x:v>32</x:v>
      </x:c>
      <x:c r="F38" s="24" t="n">
        <x:v>33.5</x:v>
      </x:c>
      <x:c r="G38" s="24" t="n">
        <x:f>E38-F38</x:f>
        <x:v>-1.5</x:v>
      </x:c>
      <x:c r="H38" s="24" t="n">
        <x:f>ABS(G38)</x:f>
        <x:v>1.5</x:v>
      </x:c>
      <x:c r="I38" s="24" t="n">
        <x:f>G38^2</x:f>
        <x:v>2.25</x:v>
      </x:c>
    </x:row>
    <x:row r="39">
      <x:c r="A39" t="str">
        <x:v>C006</x:v>
      </x:c>
      <x:c r="B39" t="str">
        <x:v>P006</x:v>
      </x:c>
      <x:c r="C39" t="str">
        <x:v>DE_HH_2025</x:v>
      </x:c>
      <x:c r="D39" t="str">
        <x:v>GRÜNE</x:v>
      </x:c>
      <x:c r="E39" s="24" t="n">
        <x:v>16</x:v>
      </x:c>
      <x:c r="F39" s="24" t="n">
        <x:v>18.5</x:v>
      </x:c>
      <x:c r="G39" s="24" t="n">
        <x:f>E39-F39</x:f>
        <x:v>-2.5</x:v>
      </x:c>
      <x:c r="H39" s="24" t="n">
        <x:f>ABS(G39)</x:f>
        <x:v>2.5</x:v>
      </x:c>
      <x:c r="I39" s="24" t="n">
        <x:f>G39^2</x:f>
        <x:v>6.25</x:v>
      </x:c>
    </x:row>
    <x:row r="40">
      <x:c r="A40" t="str">
        <x:v>C006</x:v>
      </x:c>
      <x:c r="B40" t="str">
        <x:v>P006</x:v>
      </x:c>
      <x:c r="C40" t="str">
        <x:v>DE_HH_2025</x:v>
      </x:c>
      <x:c r="D40" t="str">
        <x:v>FDP</x:v>
      </x:c>
      <x:c r="E40" s="24" t="n">
        <x:v>3</x:v>
      </x:c>
      <x:c r="F40" s="24" t="n">
        <x:v>2.3</x:v>
      </x:c>
      <x:c r="G40" s="24" t="n">
        <x:f>E40-F40</x:f>
        <x:v>0.7000000000000002</x:v>
      </x:c>
      <x:c r="H40" s="24" t="n">
        <x:f>ABS(G40)</x:f>
        <x:v>0.7000000000000002</x:v>
      </x:c>
      <x:c r="I40" s="24" t="n">
        <x:f>G40^2</x:f>
        <x:v>0.49000000000000027</x:v>
      </x:c>
    </x:row>
    <x:row r="41">
      <x:c r="A41" t="str">
        <x:v>C006</x:v>
      </x:c>
      <x:c r="B41" t="str">
        <x:v>P006</x:v>
      </x:c>
      <x:c r="C41" t="str">
        <x:v>DE_HH_2025</x:v>
      </x:c>
      <x:c r="D41" t="str">
        <x:v>LINKE</x:v>
      </x:c>
      <x:c r="E41" s="24" t="n">
        <x:v>13</x:v>
      </x:c>
      <x:c r="F41" s="24" t="n">
        <x:v>11.2</x:v>
      </x:c>
      <x:c r="G41" s="24" t="n">
        <x:f>E41-F41</x:f>
        <x:v>1.8000000000000007</x:v>
      </x:c>
      <x:c r="H41" s="24" t="n">
        <x:f>ABS(G41)</x:f>
        <x:v>1.8000000000000007</x:v>
      </x:c>
      <x:c r="I41" s="24" t="n">
        <x:f>G41^2</x:f>
        <x:v>3.2400000000000024</x:v>
      </x:c>
    </x:row>
    <x:row r="42">
      <x:c r="A42" t="str">
        <x:v>C006</x:v>
      </x:c>
      <x:c r="B42" t="str">
        <x:v>P006</x:v>
      </x:c>
      <x:c r="C42" t="str">
        <x:v>DE_HH_2025</x:v>
      </x:c>
      <x:c r="D42" t="str">
        <x:v>AfD</x:v>
      </x:c>
      <x:c r="E42" s="24" t="n">
        <x:v>11</x:v>
      </x:c>
      <x:c r="F42" s="24" t="n">
        <x:v>7.5</x:v>
      </x:c>
      <x:c r="G42" s="24" t="n">
        <x:f>E42-F42</x:f>
        <x:v>3.5</x:v>
      </x:c>
      <x:c r="H42" s="24" t="n">
        <x:f>ABS(G42)</x:f>
        <x:v>3.5</x:v>
      </x:c>
      <x:c r="I42" s="24" t="n">
        <x:f>G42^2</x:f>
        <x:v>12.25</x:v>
      </x:c>
    </x:row>
    <x:row r="43">
      <x:c r="A43" t="str">
        <x:v>C006</x:v>
      </x:c>
      <x:c r="B43" t="str">
        <x:v>P006</x:v>
      </x:c>
      <x:c r="C43" t="str">
        <x:v>DE_HH_2025</x:v>
      </x:c>
      <x:c r="D43" t="str">
        <x:v>BSW</x:v>
      </x:c>
      <x:c r="E43" s="24" t="n">
        <x:v>3</x:v>
      </x:c>
      <x:c r="F43" s="24" t="n">
        <x:v>1.8</x:v>
      </x:c>
      <x:c r="G43" s="24" t="n">
        <x:f>E43-F43</x:f>
        <x:v>1.2</x:v>
      </x:c>
      <x:c r="H43" s="24" t="n">
        <x:f>ABS(G43)</x:f>
        <x:v>1.2</x:v>
      </x:c>
      <x:c r="I43" s="24" t="n">
        <x:f>G43^2</x:f>
        <x:v>1.44</x:v>
      </x:c>
    </x:row>
    <x:row r="44">
      <x:c r="A44" t="str">
        <x:v>C006</x:v>
      </x:c>
      <x:c r="B44" t="str">
        <x:v>P006</x:v>
      </x:c>
      <x:c r="C44" t="str">
        <x:v>DE_HH_2025</x:v>
      </x:c>
      <x:c r="D44" t="str">
        <x:v>Sonstige inkl. Volt</x:v>
      </x:c>
      <x:c r="E44" s="24" t="n">
        <x:v>5</x:v>
      </x:c>
      <x:c r="F44" s="24" t="n">
        <x:v>5.4</x:v>
      </x:c>
      <x:c r="G44" s="24" t="n">
        <x:f>E44-F44</x:f>
        <x:v>-0.40000000000000036</x:v>
      </x:c>
      <x:c r="H44" s="24" t="n">
        <x:f>ABS(G44)</x:f>
        <x:v>0.40000000000000036</x:v>
      </x:c>
      <x:c r="I44" s="24" t="n">
        <x:f>G44^2</x:f>
        <x:v>0.16000000000000028</x:v>
      </x:c>
    </x:row>
    <x:row r="45">
      <x:c r="A45" t="str">
        <x:v>C007</x:v>
      </x:c>
      <x:c r="B45" t="str">
        <x:v>P007</x:v>
      </x:c>
      <x:c r="C45" t="str">
        <x:v>DE_HH_2025</x:v>
      </x:c>
      <x:c r="D45" t="str">
        <x:v>CDU</x:v>
      </x:c>
      <x:c r="E45" s="24" t="n">
        <x:v>17</x:v>
      </x:c>
      <x:c r="F45" s="24" t="n">
        <x:v>19.8</x:v>
      </x:c>
      <x:c r="G45" s="24" t="n">
        <x:f>E45-F45</x:f>
        <x:v>-2.8000000000000007</x:v>
      </x:c>
      <x:c r="H45" s="24" t="n">
        <x:f>ABS(G45)</x:f>
        <x:v>2.8000000000000007</x:v>
      </x:c>
      <x:c r="I45" s="24" t="n">
        <x:f>G45^2</x:f>
        <x:v>7.840000000000004</x:v>
      </x:c>
    </x:row>
    <x:row r="46">
      <x:c r="A46" t="str">
        <x:v>C007</x:v>
      </x:c>
      <x:c r="B46" t="str">
        <x:v>P007</x:v>
      </x:c>
      <x:c r="C46" t="str">
        <x:v>DE_HH_2025</x:v>
      </x:c>
      <x:c r="D46" t="str">
        <x:v>SPD</x:v>
      </x:c>
      <x:c r="E46" s="24" t="n">
        <x:v>32</x:v>
      </x:c>
      <x:c r="F46" s="24" t="n">
        <x:v>33.5</x:v>
      </x:c>
      <x:c r="G46" s="24" t="n">
        <x:f>E46-F46</x:f>
        <x:v>-1.5</x:v>
      </x:c>
      <x:c r="H46" s="24" t="n">
        <x:f>ABS(G46)</x:f>
        <x:v>1.5</x:v>
      </x:c>
      <x:c r="I46" s="24" t="n">
        <x:f>G46^2</x:f>
        <x:v>2.25</x:v>
      </x:c>
    </x:row>
    <x:row r="47">
      <x:c r="A47" t="str">
        <x:v>C007</x:v>
      </x:c>
      <x:c r="B47" t="str">
        <x:v>P007</x:v>
      </x:c>
      <x:c r="C47" t="str">
        <x:v>DE_HH_2025</x:v>
      </x:c>
      <x:c r="D47" t="str">
        <x:v>GRÜNE</x:v>
      </x:c>
      <x:c r="E47" s="24" t="n">
        <x:v>18</x:v>
      </x:c>
      <x:c r="F47" s="24" t="n">
        <x:v>18.5</x:v>
      </x:c>
      <x:c r="G47" s="24" t="n">
        <x:f>E47-F47</x:f>
        <x:v>-0.5</x:v>
      </x:c>
      <x:c r="H47" s="24" t="n">
        <x:f>ABS(G47)</x:f>
        <x:v>0.5</x:v>
      </x:c>
      <x:c r="I47" s="24" t="n">
        <x:f>G47^2</x:f>
        <x:v>0.25</x:v>
      </x:c>
    </x:row>
    <x:row r="48">
      <x:c r="A48" t="str">
        <x:v>C007</x:v>
      </x:c>
      <x:c r="B48" t="str">
        <x:v>P007</x:v>
      </x:c>
      <x:c r="C48" t="str">
        <x:v>DE_HH_2025</x:v>
      </x:c>
      <x:c r="D48" t="str">
        <x:v>FDP</x:v>
      </x:c>
      <x:c r="E48" s="24" t="n">
        <x:v>3</x:v>
      </x:c>
      <x:c r="F48" s="24" t="n">
        <x:v>2.3</x:v>
      </x:c>
      <x:c r="G48" s="24" t="n">
        <x:f>E48-F48</x:f>
        <x:v>0.7000000000000002</x:v>
      </x:c>
      <x:c r="H48" s="24" t="n">
        <x:f>ABS(G48)</x:f>
        <x:v>0.7000000000000002</x:v>
      </x:c>
      <x:c r="I48" s="24" t="n">
        <x:f>G48^2</x:f>
        <x:v>0.49000000000000027</x:v>
      </x:c>
    </x:row>
    <x:row r="49">
      <x:c r="A49" t="str">
        <x:v>C007</x:v>
      </x:c>
      <x:c r="B49" t="str">
        <x:v>P007</x:v>
      </x:c>
      <x:c r="C49" t="str">
        <x:v>DE_HH_2025</x:v>
      </x:c>
      <x:c r="D49" t="str">
        <x:v>LINKE</x:v>
      </x:c>
      <x:c r="E49" s="24" t="n">
        <x:v>10</x:v>
      </x:c>
      <x:c r="F49" s="24" t="n">
        <x:v>11.2</x:v>
      </x:c>
      <x:c r="G49" s="24" t="n">
        <x:f>E49-F49</x:f>
        <x:v>-1.1999999999999993</x:v>
      </x:c>
      <x:c r="H49" s="24" t="n">
        <x:f>ABS(G49)</x:f>
        <x:v>1.1999999999999993</x:v>
      </x:c>
      <x:c r="I49" s="24" t="n">
        <x:f>G49^2</x:f>
        <x:v>1.4399999999999984</x:v>
      </x:c>
    </x:row>
    <x:row r="50">
      <x:c r="A50" t="str">
        <x:v>C007</x:v>
      </x:c>
      <x:c r="B50" t="str">
        <x:v>P007</x:v>
      </x:c>
      <x:c r="C50" t="str">
        <x:v>DE_HH_2025</x:v>
      </x:c>
      <x:c r="D50" t="str">
        <x:v>AfD</x:v>
      </x:c>
      <x:c r="E50" s="24" t="n">
        <x:v>10</x:v>
      </x:c>
      <x:c r="F50" s="24" t="n">
        <x:v>7.5</x:v>
      </x:c>
      <x:c r="G50" s="24" t="n">
        <x:f>E50-F50</x:f>
        <x:v>2.5</x:v>
      </x:c>
      <x:c r="H50" s="24" t="n">
        <x:f>ABS(G50)</x:f>
        <x:v>2.5</x:v>
      </x:c>
      <x:c r="I50" s="24" t="n">
        <x:f>G50^2</x:f>
        <x:v>6.25</x:v>
      </x:c>
    </x:row>
    <x:row r="51">
      <x:c r="A51" t="str">
        <x:v>C007</x:v>
      </x:c>
      <x:c r="B51" t="str">
        <x:v>P007</x:v>
      </x:c>
      <x:c r="C51" t="str">
        <x:v>DE_HH_2025</x:v>
      </x:c>
      <x:c r="D51" t="str">
        <x:v>BSW</x:v>
      </x:c>
      <x:c r="E51" s="24" t="n">
        <x:v>3</x:v>
      </x:c>
      <x:c r="F51" s="24" t="n">
        <x:v>1.8</x:v>
      </x:c>
      <x:c r="G51" s="24" t="n">
        <x:f>E51-F51</x:f>
        <x:v>1.2</x:v>
      </x:c>
      <x:c r="H51" s="24" t="n">
        <x:f>ABS(G51)</x:f>
        <x:v>1.2</x:v>
      </x:c>
      <x:c r="I51" s="24" t="n">
        <x:f>G51^2</x:f>
        <x:v>1.44</x:v>
      </x:c>
    </x:row>
    <x:row r="52">
      <x:c r="A52" t="str">
        <x:v>C007</x:v>
      </x:c>
      <x:c r="B52" t="str">
        <x:v>P007</x:v>
      </x:c>
      <x:c r="C52" t="str">
        <x:v>DE_HH_2025</x:v>
      </x:c>
      <x:c r="D52" t="str">
        <x:v>Volt</x:v>
      </x:c>
      <x:c r="E52" s="24" t="n">
        <x:v>3</x:v>
      </x:c>
      <x:c r="F52" s="24" t="n">
        <x:v>3.2</x:v>
      </x:c>
      <x:c r="G52" s="24" t="n">
        <x:f>E52-F52</x:f>
        <x:v>-0.20000000000000018</x:v>
      </x:c>
      <x:c r="H52" s="24" t="n">
        <x:f>ABS(G52)</x:f>
        <x:v>0.20000000000000018</x:v>
      </x:c>
      <x:c r="I52" s="24" t="n">
        <x:f>G52^2</x:f>
        <x:v>0.04000000000000007</x:v>
      </x:c>
    </x:row>
    <x:row r="53">
      <x:c r="A53" t="str">
        <x:v>C007</x:v>
      </x:c>
      <x:c r="B53" t="str">
        <x:v>P007</x:v>
      </x:c>
      <x:c r="C53" t="str">
        <x:v>DE_HH_2025</x:v>
      </x:c>
      <x:c r="D53" t="str">
        <x:v>Sonstige</x:v>
      </x:c>
      <x:c r="E53" s="24" t="n">
        <x:v>4</x:v>
      </x:c>
      <x:c r="F53" s="24" t="n">
        <x:v>2.2</x:v>
      </x:c>
      <x:c r="G53" s="24" t="n">
        <x:f>E53-F53</x:f>
        <x:v>1.7999999999999998</x:v>
      </x:c>
      <x:c r="H53" s="24" t="n">
        <x:f>ABS(G53)</x:f>
        <x:v>1.7999999999999998</x:v>
      </x:c>
      <x:c r="I53" s="24" t="n">
        <x:f>G53^2</x:f>
        <x:v>3.2399999999999993</x:v>
      </x:c>
    </x:row>
    <x:row r="54">
      <x:c r="A54" t="str">
        <x:v>C008</x:v>
      </x:c>
      <x:c r="B54" t="str">
        <x:v>P008</x:v>
      </x:c>
      <x:c r="C54" t="str">
        <x:v>DE_HH_2025</x:v>
      </x:c>
      <x:c r="D54" t="str">
        <x:v>CDU</x:v>
      </x:c>
      <x:c r="E54" s="24" t="n">
        <x:v>17</x:v>
      </x:c>
      <x:c r="F54" s="24" t="n">
        <x:v>19.8</x:v>
      </x:c>
      <x:c r="G54" s="24" t="n">
        <x:f>E54-F54</x:f>
        <x:v>-2.8000000000000007</x:v>
      </x:c>
      <x:c r="H54" s="24" t="n">
        <x:f>ABS(G54)</x:f>
        <x:v>2.8000000000000007</x:v>
      </x:c>
      <x:c r="I54" s="24" t="n">
        <x:f>G54^2</x:f>
        <x:v>7.840000000000004</x:v>
      </x:c>
    </x:row>
    <x:row r="55">
      <x:c r="A55" t="str">
        <x:v>C008</x:v>
      </x:c>
      <x:c r="B55" t="str">
        <x:v>P008</x:v>
      </x:c>
      <x:c r="C55" t="str">
        <x:v>DE_HH_2025</x:v>
      </x:c>
      <x:c r="D55" t="str">
        <x:v>SPD</x:v>
      </x:c>
      <x:c r="E55" s="24" t="n">
        <x:v>32</x:v>
      </x:c>
      <x:c r="F55" s="24" t="n">
        <x:v>33.5</x:v>
      </x:c>
      <x:c r="G55" s="24" t="n">
        <x:f>E55-F55</x:f>
        <x:v>-1.5</x:v>
      </x:c>
      <x:c r="H55" s="24" t="n">
        <x:f>ABS(G55)</x:f>
        <x:v>1.5</x:v>
      </x:c>
      <x:c r="I55" s="24" t="n">
        <x:f>G55^2</x:f>
        <x:v>2.25</x:v>
      </x:c>
    </x:row>
    <x:row r="56">
      <x:c r="A56" t="str">
        <x:v>C008</x:v>
      </x:c>
      <x:c r="B56" t="str">
        <x:v>P008</x:v>
      </x:c>
      <x:c r="C56" t="str">
        <x:v>DE_HH_2025</x:v>
      </x:c>
      <x:c r="D56" t="str">
        <x:v>GRÜNE</x:v>
      </x:c>
      <x:c r="E56" s="24" t="n">
        <x:v>18</x:v>
      </x:c>
      <x:c r="F56" s="24" t="n">
        <x:v>18.5</x:v>
      </x:c>
      <x:c r="G56" s="24" t="n">
        <x:f>E56-F56</x:f>
        <x:v>-0.5</x:v>
      </x:c>
      <x:c r="H56" s="24" t="n">
        <x:f>ABS(G56)</x:f>
        <x:v>0.5</x:v>
      </x:c>
      <x:c r="I56" s="24" t="n">
        <x:f>G56^2</x:f>
        <x:v>0.25</x:v>
      </x:c>
    </x:row>
    <x:row r="57">
      <x:c r="A57" t="str">
        <x:v>C008</x:v>
      </x:c>
      <x:c r="B57" t="str">
        <x:v>P008</x:v>
      </x:c>
      <x:c r="C57" t="str">
        <x:v>DE_HH_2025</x:v>
      </x:c>
      <x:c r="D57" t="str">
        <x:v>FDP</x:v>
      </x:c>
      <x:c r="E57" s="24" t="n">
        <x:v>4</x:v>
      </x:c>
      <x:c r="F57" s="24" t="n">
        <x:v>2.3</x:v>
      </x:c>
      <x:c r="G57" s="24" t="n">
        <x:f>E57-F57</x:f>
        <x:v>1.7000000000000002</x:v>
      </x:c>
      <x:c r="H57" s="24" t="n">
        <x:f>ABS(G57)</x:f>
        <x:v>1.7000000000000002</x:v>
      </x:c>
      <x:c r="I57" s="24" t="n">
        <x:f>G57^2</x:f>
        <x:v>2.8900000000000006</x:v>
      </x:c>
    </x:row>
    <x:row r="58">
      <x:c r="A58" t="str">
        <x:v>C008</x:v>
      </x:c>
      <x:c r="B58" t="str">
        <x:v>P008</x:v>
      </x:c>
      <x:c r="C58" t="str">
        <x:v>DE_HH_2025</x:v>
      </x:c>
      <x:c r="D58" t="str">
        <x:v>LINKE</x:v>
      </x:c>
      <x:c r="E58" s="24" t="n">
        <x:v>10</x:v>
      </x:c>
      <x:c r="F58" s="24" t="n">
        <x:v>11.2</x:v>
      </x:c>
      <x:c r="G58" s="24" t="n">
        <x:f>E58-F58</x:f>
        <x:v>-1.1999999999999993</x:v>
      </x:c>
      <x:c r="H58" s="24" t="n">
        <x:f>ABS(G58)</x:f>
        <x:v>1.1999999999999993</x:v>
      </x:c>
      <x:c r="I58" s="24" t="n">
        <x:f>G58^2</x:f>
        <x:v>1.4399999999999984</x:v>
      </x:c>
    </x:row>
    <x:row r="59">
      <x:c r="A59" t="str">
        <x:v>C008</x:v>
      </x:c>
      <x:c r="B59" t="str">
        <x:v>P008</x:v>
      </x:c>
      <x:c r="C59" t="str">
        <x:v>DE_HH_2025</x:v>
      </x:c>
      <x:c r="D59" t="str">
        <x:v>AfD</x:v>
      </x:c>
      <x:c r="E59" s="24" t="n">
        <x:v>9</x:v>
      </x:c>
      <x:c r="F59" s="24" t="n">
        <x:v>7.5</x:v>
      </x:c>
      <x:c r="G59" s="24" t="n">
        <x:f>E59-F59</x:f>
        <x:v>1.5</x:v>
      </x:c>
      <x:c r="H59" s="24" t="n">
        <x:f>ABS(G59)</x:f>
        <x:v>1.5</x:v>
      </x:c>
      <x:c r="I59" s="24" t="n">
        <x:f>G59^2</x:f>
        <x:v>2.25</x:v>
      </x:c>
    </x:row>
    <x:row r="60">
      <x:c r="A60" t="str">
        <x:v>C008</x:v>
      </x:c>
      <x:c r="B60" t="str">
        <x:v>P008</x:v>
      </x:c>
      <x:c r="C60" t="str">
        <x:v>DE_HH_2025</x:v>
      </x:c>
      <x:c r="D60" t="str">
        <x:v>BSW</x:v>
      </x:c>
      <x:c r="E60" s="24" t="n">
        <x:v>3</x:v>
      </x:c>
      <x:c r="F60" s="24" t="n">
        <x:v>1.8</x:v>
      </x:c>
      <x:c r="G60" s="24" t="n">
        <x:f>E60-F60</x:f>
        <x:v>1.2</x:v>
      </x:c>
      <x:c r="H60" s="24" t="n">
        <x:f>ABS(G60)</x:f>
        <x:v>1.2</x:v>
      </x:c>
      <x:c r="I60" s="24" t="n">
        <x:f>G60^2</x:f>
        <x:v>1.44</x:v>
      </x:c>
    </x:row>
    <x:row r="61">
      <x:c r="A61" t="str">
        <x:v>C008</x:v>
      </x:c>
      <x:c r="B61" t="str">
        <x:v>P008</x:v>
      </x:c>
      <x:c r="C61" t="str">
        <x:v>DE_HH_2025</x:v>
      </x:c>
      <x:c r="D61" t="str">
        <x:v>Sonstige inkl. Volt</x:v>
      </x:c>
      <x:c r="E61" s="24" t="n">
        <x:v>7</x:v>
      </x:c>
      <x:c r="F61" s="24" t="n">
        <x:v>5.4</x:v>
      </x:c>
      <x:c r="G61" s="24" t="n">
        <x:f>E61-F61</x:f>
        <x:v>1.5999999999999996</x:v>
      </x:c>
      <x:c r="H61" s="24" t="n">
        <x:f>ABS(G61)</x:f>
        <x:v>1.5999999999999996</x:v>
      </x:c>
      <x:c r="I61" s="24" t="n">
        <x:f>G61^2</x:f>
        <x:v>2.5599999999999987</x:v>
      </x:c>
    </x:row>
    <x:row r="62">
      <x:c r="A62" t="str">
        <x:v>C009</x:v>
      </x:c>
      <x:c r="B62" t="str">
        <x:v>P009</x:v>
      </x:c>
      <x:c r="C62" t="str">
        <x:v>DE_HH_2025</x:v>
      </x:c>
      <x:c r="D62" t="str">
        <x:v>CDU</x:v>
      </x:c>
      <x:c r="E62" s="24" t="n">
        <x:v>16</x:v>
      </x:c>
      <x:c r="F62" s="24" t="n">
        <x:v>19.8</x:v>
      </x:c>
      <x:c r="G62" s="24" t="n">
        <x:f>E62-F62</x:f>
        <x:v>-3.8000000000000007</x:v>
      </x:c>
      <x:c r="H62" s="24" t="n">
        <x:f>ABS(G62)</x:f>
        <x:v>3.8000000000000007</x:v>
      </x:c>
      <x:c r="I62" s="24" t="n">
        <x:f>G62^2</x:f>
        <x:v>14.440000000000005</x:v>
      </x:c>
    </x:row>
    <x:row r="63">
      <x:c r="A63" t="str">
        <x:v>C009</x:v>
      </x:c>
      <x:c r="B63" t="str">
        <x:v>P009</x:v>
      </x:c>
      <x:c r="C63" t="str">
        <x:v>DE_HH_2025</x:v>
      </x:c>
      <x:c r="D63" t="str">
        <x:v>SPD</x:v>
      </x:c>
      <x:c r="E63" s="24" t="n">
        <x:v>34</x:v>
      </x:c>
      <x:c r="F63" s="24" t="n">
        <x:v>33.5</x:v>
      </x:c>
      <x:c r="G63" s="24" t="n">
        <x:f>E63-F63</x:f>
        <x:v>0.5</x:v>
      </x:c>
      <x:c r="H63" s="24" t="n">
        <x:f>ABS(G63)</x:f>
        <x:v>0.5</x:v>
      </x:c>
      <x:c r="I63" s="24" t="n">
        <x:f>G63^2</x:f>
        <x:v>0.25</x:v>
      </x:c>
    </x:row>
    <x:row r="64">
      <x:c r="A64" t="str">
        <x:v>C009</x:v>
      </x:c>
      <x:c r="B64" t="str">
        <x:v>P009</x:v>
      </x:c>
      <x:c r="C64" t="str">
        <x:v>DE_HH_2025</x:v>
      </x:c>
      <x:c r="D64" t="str">
        <x:v>GRÜNE</x:v>
      </x:c>
      <x:c r="E64" s="24" t="n">
        <x:v>20</x:v>
      </x:c>
      <x:c r="F64" s="24" t="n">
        <x:v>18.5</x:v>
      </x:c>
      <x:c r="G64" s="24" t="n">
        <x:f>E64-F64</x:f>
        <x:v>1.5</x:v>
      </x:c>
      <x:c r="H64" s="24" t="n">
        <x:f>ABS(G64)</x:f>
        <x:v>1.5</x:v>
      </x:c>
      <x:c r="I64" s="24" t="n">
        <x:f>G64^2</x:f>
        <x:v>2.25</x:v>
      </x:c>
    </x:row>
    <x:row r="65">
      <x:c r="A65" t="str">
        <x:v>C009</x:v>
      </x:c>
      <x:c r="B65" t="str">
        <x:v>P009</x:v>
      </x:c>
      <x:c r="C65" t="str">
        <x:v>DE_HH_2025</x:v>
      </x:c>
      <x:c r="D65" t="str">
        <x:v>FDP</x:v>
      </x:c>
      <x:c r="E65" s="24" t="n">
        <x:v>3</x:v>
      </x:c>
      <x:c r="F65" s="24" t="n">
        <x:v>2.3</x:v>
      </x:c>
      <x:c r="G65" s="24" t="n">
        <x:f>E65-F65</x:f>
        <x:v>0.7000000000000002</x:v>
      </x:c>
      <x:c r="H65" s="24" t="n">
        <x:f>ABS(G65)</x:f>
        <x:v>0.7000000000000002</x:v>
      </x:c>
      <x:c r="I65" s="24" t="n">
        <x:f>G65^2</x:f>
        <x:v>0.49000000000000027</x:v>
      </x:c>
    </x:row>
    <x:row r="66">
      <x:c r="A66" t="str">
        <x:v>C009</x:v>
      </x:c>
      <x:c r="B66" t="str">
        <x:v>P009</x:v>
      </x:c>
      <x:c r="C66" t="str">
        <x:v>DE_HH_2025</x:v>
      </x:c>
      <x:c r="D66" t="str">
        <x:v>LINKE</x:v>
      </x:c>
      <x:c r="E66" s="24" t="n">
        <x:v>6</x:v>
      </x:c>
      <x:c r="F66" s="24" t="n">
        <x:v>11.2</x:v>
      </x:c>
      <x:c r="G66" s="24" t="n">
        <x:f>E66-F66</x:f>
        <x:v>-5.199999999999999</x:v>
      </x:c>
      <x:c r="H66" s="24" t="n">
        <x:f>ABS(G66)</x:f>
        <x:v>5.199999999999999</x:v>
      </x:c>
      <x:c r="I66" s="24" t="n">
        <x:f>G66^2</x:f>
        <x:v>27.039999999999992</x:v>
      </x:c>
    </x:row>
    <x:row r="67">
      <x:c r="A67" t="str">
        <x:v>C009</x:v>
      </x:c>
      <x:c r="B67" t="str">
        <x:v>P009</x:v>
      </x:c>
      <x:c r="C67" t="str">
        <x:v>DE_HH_2025</x:v>
      </x:c>
      <x:c r="D67" t="str">
        <x:v>AfD</x:v>
      </x:c>
      <x:c r="E67" s="24" t="n">
        <x:v>11</x:v>
      </x:c>
      <x:c r="F67" s="24" t="n">
        <x:v>7.5</x:v>
      </x:c>
      <x:c r="G67" s="24" t="n">
        <x:f>E67-F67</x:f>
        <x:v>3.5</x:v>
      </x:c>
      <x:c r="H67" s="24" t="n">
        <x:f>ABS(G67)</x:f>
        <x:v>3.5</x:v>
      </x:c>
      <x:c r="I67" s="24" t="n">
        <x:f>G67^2</x:f>
        <x:v>12.25</x:v>
      </x:c>
    </x:row>
    <x:row r="68">
      <x:c r="A68" t="str">
        <x:v>C009</x:v>
      </x:c>
      <x:c r="B68" t="str">
        <x:v>P009</x:v>
      </x:c>
      <x:c r="C68" t="str">
        <x:v>DE_HH_2025</x:v>
      </x:c>
      <x:c r="D68" t="str">
        <x:v>BSW</x:v>
      </x:c>
      <x:c r="E68" s="24" t="n">
        <x:v>3</x:v>
      </x:c>
      <x:c r="F68" s="24" t="n">
        <x:v>1.8</x:v>
      </x:c>
      <x:c r="G68" s="24" t="n">
        <x:f>E68-F68</x:f>
        <x:v>1.2</x:v>
      </x:c>
      <x:c r="H68" s="24" t="n">
        <x:f>ABS(G68)</x:f>
        <x:v>1.2</x:v>
      </x:c>
      <x:c r="I68" s="24" t="n">
        <x:f>G68^2</x:f>
        <x:v>1.44</x:v>
      </x:c>
    </x:row>
    <x:row r="69">
      <x:c r="A69" t="str">
        <x:v>C009</x:v>
      </x:c>
      <x:c r="B69" t="str">
        <x:v>P009</x:v>
      </x:c>
      <x:c r="C69" t="str">
        <x:v>DE_HH_2025</x:v>
      </x:c>
      <x:c r="D69" t="str">
        <x:v>Volt</x:v>
      </x:c>
      <x:c r="E69" s="24" t="n">
        <x:v>3</x:v>
      </x:c>
      <x:c r="F69" s="24" t="n">
        <x:v>3.2</x:v>
      </x:c>
      <x:c r="G69" s="24" t="n">
        <x:f>E69-F69</x:f>
        <x:v>-0.20000000000000018</x:v>
      </x:c>
      <x:c r="H69" s="24" t="n">
        <x:f>ABS(G69)</x:f>
        <x:v>0.20000000000000018</x:v>
      </x:c>
      <x:c r="I69" s="24" t="n">
        <x:f>G69^2</x:f>
        <x:v>0.04000000000000007</x:v>
      </x:c>
    </x:row>
    <x:row r="70">
      <x:c r="A70" t="str">
        <x:v>C009</x:v>
      </x:c>
      <x:c r="B70" t="str">
        <x:v>P009</x:v>
      </x:c>
      <x:c r="C70" t="str">
        <x:v>DE_HH_2025</x:v>
      </x:c>
      <x:c r="D70" t="str">
        <x:v>Sonstige</x:v>
      </x:c>
      <x:c r="E70" s="24" t="n">
        <x:v>4</x:v>
      </x:c>
      <x:c r="F70" s="24" t="n">
        <x:v>2.2</x:v>
      </x:c>
      <x:c r="G70" s="24" t="n">
        <x:f>E70-F70</x:f>
        <x:v>1.7999999999999998</x:v>
      </x:c>
      <x:c r="H70" s="24" t="n">
        <x:f>ABS(G70)</x:f>
        <x:v>1.7999999999999998</x:v>
      </x:c>
      <x:c r="I70" s="24" t="n">
        <x:f>G70^2</x:f>
        <x:v>3.2399999999999993</x:v>
      </x:c>
    </x:row>
    <x:row r="71">
      <x:c r="A71" t="str">
        <x:v>C010</x:v>
      </x:c>
      <x:c r="B71" t="str">
        <x:v>P010</x:v>
      </x:c>
      <x:c r="C71" t="str">
        <x:v>DE_BB_2024</x:v>
      </x:c>
      <x:c r="D71" t="str">
        <x:v>CDU</x:v>
      </x:c>
      <x:c r="E71" s="24" t="n">
        <x:v>14</x:v>
      </x:c>
      <x:c r="F71" s="24" t="n">
        <x:v>12.1</x:v>
      </x:c>
      <x:c r="G71" s="24" t="n">
        <x:f>E71-F71</x:f>
        <x:v>1.9000000000000004</x:v>
      </x:c>
      <x:c r="H71" s="24" t="n">
        <x:f>ABS(G71)</x:f>
        <x:v>1.9000000000000004</x:v>
      </x:c>
      <x:c r="I71" s="24" t="n">
        <x:f>G71^2</x:f>
        <x:v>3.610000000000001</x:v>
      </x:c>
    </x:row>
    <x:row r="72">
      <x:c r="A72" t="str">
        <x:v>C010</x:v>
      </x:c>
      <x:c r="B72" t="str">
        <x:v>P010</x:v>
      </x:c>
      <x:c r="C72" t="str">
        <x:v>DE_BB_2024</x:v>
      </x:c>
      <x:c r="D72" t="str">
        <x:v>SPD</x:v>
      </x:c>
      <x:c r="E72" s="24" t="n">
        <x:v>27</x:v>
      </x:c>
      <x:c r="F72" s="24" t="n">
        <x:v>30.9</x:v>
      </x:c>
      <x:c r="G72" s="24" t="n">
        <x:f>E72-F72</x:f>
        <x:v>-3.8999999999999986</x:v>
      </x:c>
      <x:c r="H72" s="24" t="n">
        <x:f>ABS(G72)</x:f>
        <x:v>3.8999999999999986</x:v>
      </x:c>
      <x:c r="I72" s="24" t="n">
        <x:f>G72^2</x:f>
        <x:v>15.209999999999988</x:v>
      </x:c>
    </x:row>
    <x:row r="73">
      <x:c r="A73" t="str">
        <x:v>C010</x:v>
      </x:c>
      <x:c r="B73" t="str">
        <x:v>P010</x:v>
      </x:c>
      <x:c r="C73" t="str">
        <x:v>DE_BB_2024</x:v>
      </x:c>
      <x:c r="D73" t="str">
        <x:v>GRÜNE</x:v>
      </x:c>
      <x:c r="E73" s="24" t="n">
        <x:v>4.5</x:v>
      </x:c>
      <x:c r="F73" s="24" t="n">
        <x:v>4.1</x:v>
      </x:c>
      <x:c r="G73" s="24" t="n">
        <x:f>E73-F73</x:f>
        <x:v>0.40000000000000036</x:v>
      </x:c>
      <x:c r="H73" s="24" t="n">
        <x:f>ABS(G73)</x:f>
        <x:v>0.40000000000000036</x:v>
      </x:c>
      <x:c r="I73" s="24" t="n">
        <x:f>G73^2</x:f>
        <x:v>0.16000000000000028</x:v>
      </x:c>
    </x:row>
    <x:row r="74">
      <x:c r="A74" t="str">
        <x:v>C010</x:v>
      </x:c>
      <x:c r="B74" t="str">
        <x:v>P010</x:v>
      </x:c>
      <x:c r="C74" t="str">
        <x:v>DE_BB_2024</x:v>
      </x:c>
      <x:c r="D74" t="str">
        <x:v>LINKE</x:v>
      </x:c>
      <x:c r="E74" s="24" t="n">
        <x:v>4</x:v>
      </x:c>
      <x:c r="F74" s="24" t="n">
        <x:v>3</x:v>
      </x:c>
      <x:c r="G74" s="24" t="n">
        <x:f>E74-F74</x:f>
        <x:v>1</x:v>
      </x:c>
      <x:c r="H74" s="24" t="n">
        <x:f>ABS(G74)</x:f>
        <x:v>1</x:v>
      </x:c>
      <x:c r="I74" s="24" t="n">
        <x:f>G74^2</x:f>
        <x:v>1</x:v>
      </x:c>
    </x:row>
    <x:row r="75">
      <x:c r="A75" t="str">
        <x:v>C010</x:v>
      </x:c>
      <x:c r="B75" t="str">
        <x:v>P010</x:v>
      </x:c>
      <x:c r="C75" t="str">
        <x:v>DE_BB_2024</x:v>
      </x:c>
      <x:c r="D75" t="str">
        <x:v>AfD</x:v>
      </x:c>
      <x:c r="E75" s="24" t="n">
        <x:v>28</x:v>
      </x:c>
      <x:c r="F75" s="24" t="n">
        <x:v>29.2</x:v>
      </x:c>
      <x:c r="G75" s="24" t="n">
        <x:f>E75-F75</x:f>
        <x:v>-1.1999999999999993</x:v>
      </x:c>
      <x:c r="H75" s="24" t="n">
        <x:f>ABS(G75)</x:f>
        <x:v>1.1999999999999993</x:v>
      </x:c>
      <x:c r="I75" s="24" t="n">
        <x:f>G75^2</x:f>
        <x:v>1.4399999999999984</x:v>
      </x:c>
    </x:row>
    <x:row r="76">
      <x:c r="A76" t="str">
        <x:v>C010</x:v>
      </x:c>
      <x:c r="B76" t="str">
        <x:v>P010</x:v>
      </x:c>
      <x:c r="C76" t="str">
        <x:v>DE_BB_2024</x:v>
      </x:c>
      <x:c r="D76" t="str">
        <x:v>BVB/FW</x:v>
      </x:c>
      <x:c r="E76" s="24" t="n">
        <x:v>3.5</x:v>
      </x:c>
      <x:c r="F76" s="24" t="n">
        <x:v>3.5</x:v>
      </x:c>
      <x:c r="G76" s="24" t="n">
        <x:f>E76-F76</x:f>
        <x:v>0</x:v>
      </x:c>
      <x:c r="H76" s="24" t="n">
        <x:f>ABS(G76)</x:f>
        <x:v>0</x:v>
      </x:c>
      <x:c r="I76" s="24" t="n">
        <x:f>G76^2</x:f>
        <x:v>0</x:v>
      </x:c>
    </x:row>
    <x:row r="77">
      <x:c r="A77" t="str">
        <x:v>C010</x:v>
      </x:c>
      <x:c r="B77" t="str">
        <x:v>P010</x:v>
      </x:c>
      <x:c r="C77" t="str">
        <x:v>DE_BB_2024</x:v>
      </x:c>
      <x:c r="D77" t="str">
        <x:v>BSW</x:v>
      </x:c>
      <x:c r="E77" s="24" t="n">
        <x:v>13</x:v>
      </x:c>
      <x:c r="F77" s="24" t="n">
        <x:v>13</x:v>
      </x:c>
      <x:c r="G77" s="24" t="n">
        <x:f>E77-F77</x:f>
        <x:v>0</x:v>
      </x:c>
      <x:c r="H77" s="24" t="n">
        <x:f>ABS(G77)</x:f>
        <x:v>0</x:v>
      </x:c>
      <x:c r="I77" s="24" t="n">
        <x:f>G77^2</x:f>
        <x:v>0</x:v>
      </x:c>
    </x:row>
    <x:row r="78">
      <x:c r="A78" t="str">
        <x:v>C010</x:v>
      </x:c>
      <x:c r="B78" t="str">
        <x:v>P010</x:v>
      </x:c>
      <x:c r="C78" t="str">
        <x:v>DE_BB_2024</x:v>
      </x:c>
      <x:c r="D78" t="str">
        <x:v>Sonstige</x:v>
      </x:c>
      <x:c r="E78" s="24" t="n">
        <x:v>6</x:v>
      </x:c>
      <x:c r="F78" s="24" t="n">
        <x:v>4.6</x:v>
      </x:c>
      <x:c r="G78" s="24" t="n">
        <x:f>E78-F78</x:f>
        <x:v>1.4000000000000004</x:v>
      </x:c>
      <x:c r="H78" s="24" t="n">
        <x:f>ABS(G78)</x:f>
        <x:v>1.4000000000000004</x:v>
      </x:c>
      <x:c r="I78" s="24" t="n">
        <x:f>G78^2</x:f>
        <x:v>1.960000000000001</x:v>
      </x:c>
    </x:row>
    <x:row r="79">
      <x:c r="A79" t="str">
        <x:v>C011</x:v>
      </x:c>
      <x:c r="B79" t="str">
        <x:v>P011</x:v>
      </x:c>
      <x:c r="C79" t="str">
        <x:v>DE_BB_2024</x:v>
      </x:c>
      <x:c r="D79" t="str">
        <x:v>CDU</x:v>
      </x:c>
      <x:c r="E79" s="24" t="n">
        <x:v>16</x:v>
      </x:c>
      <x:c r="F79" s="24" t="n">
        <x:v>12.1</x:v>
      </x:c>
      <x:c r="G79" s="24" t="n">
        <x:f>E79-F79</x:f>
        <x:v>3.9000000000000004</x:v>
      </x:c>
      <x:c r="H79" s="24" t="n">
        <x:f>ABS(G79)</x:f>
        <x:v>3.9000000000000004</x:v>
      </x:c>
      <x:c r="I79" s="24" t="n">
        <x:f>G79^2</x:f>
        <x:v>15.210000000000003</x:v>
      </x:c>
    </x:row>
    <x:row r="80">
      <x:c r="A80" t="str">
        <x:v>C011</x:v>
      </x:c>
      <x:c r="B80" t="str">
        <x:v>P011</x:v>
      </x:c>
      <x:c r="C80" t="str">
        <x:v>DE_BB_2024</x:v>
      </x:c>
      <x:c r="D80" t="str">
        <x:v>SPD</x:v>
      </x:c>
      <x:c r="E80" s="24" t="n">
        <x:v>27</x:v>
      </x:c>
      <x:c r="F80" s="24" t="n">
        <x:v>30.9</x:v>
      </x:c>
      <x:c r="G80" s="24" t="n">
        <x:f>E80-F80</x:f>
        <x:v>-3.8999999999999986</x:v>
      </x:c>
      <x:c r="H80" s="24" t="n">
        <x:f>ABS(G80)</x:f>
        <x:v>3.8999999999999986</x:v>
      </x:c>
      <x:c r="I80" s="24" t="n">
        <x:f>G80^2</x:f>
        <x:v>15.209999999999988</x:v>
      </x:c>
    </x:row>
    <x:row r="81">
      <x:c r="A81" t="str">
        <x:v>C011</x:v>
      </x:c>
      <x:c r="B81" t="str">
        <x:v>P011</x:v>
      </x:c>
      <x:c r="C81" t="str">
        <x:v>DE_BB_2024</x:v>
      </x:c>
      <x:c r="D81" t="str">
        <x:v>GRÜNE</x:v>
      </x:c>
      <x:c r="E81" s="24" t="n">
        <x:v>4</x:v>
      </x:c>
      <x:c r="F81" s="24" t="n">
        <x:v>4.1</x:v>
      </x:c>
      <x:c r="G81" s="24" t="n">
        <x:f>E81-F81</x:f>
        <x:v>-0.09999999999999964</x:v>
      </x:c>
      <x:c r="H81" s="24" t="n">
        <x:f>ABS(G81)</x:f>
        <x:v>0.09999999999999964</x:v>
      </x:c>
      <x:c r="I81" s="24" t="n">
        <x:f>G81^2</x:f>
        <x:v>0.009999999999999929</x:v>
      </x:c>
    </x:row>
    <x:row r="82">
      <x:c r="A82" t="str">
        <x:v>C011</x:v>
      </x:c>
      <x:c r="B82" t="str">
        <x:v>P011</x:v>
      </x:c>
      <x:c r="C82" t="str">
        <x:v>DE_BB_2024</x:v>
      </x:c>
      <x:c r="D82" t="str">
        <x:v>LINKE</x:v>
      </x:c>
      <x:c r="E82" s="24" t="n">
        <x:v>3</x:v>
      </x:c>
      <x:c r="F82" s="24" t="n">
        <x:v>3</x:v>
      </x:c>
      <x:c r="G82" s="24" t="n">
        <x:f>E82-F82</x:f>
        <x:v>0</x:v>
      </x:c>
      <x:c r="H82" s="24" t="n">
        <x:f>ABS(G82)</x:f>
        <x:v>0</x:v>
      </x:c>
      <x:c r="I82" s="24" t="n">
        <x:f>G82^2</x:f>
        <x:v>0</x:v>
      </x:c>
    </x:row>
    <x:row r="83">
      <x:c r="A83" t="str">
        <x:v>C011</x:v>
      </x:c>
      <x:c r="B83" t="str">
        <x:v>P011</x:v>
      </x:c>
      <x:c r="C83" t="str">
        <x:v>DE_BB_2024</x:v>
      </x:c>
      <x:c r="D83" t="str">
        <x:v>AfD</x:v>
      </x:c>
      <x:c r="E83" s="24" t="n">
        <x:v>28</x:v>
      </x:c>
      <x:c r="F83" s="24" t="n">
        <x:v>29.2</x:v>
      </x:c>
      <x:c r="G83" s="24" t="n">
        <x:f>E83-F83</x:f>
        <x:v>-1.1999999999999993</x:v>
      </x:c>
      <x:c r="H83" s="24" t="n">
        <x:f>ABS(G83)</x:f>
        <x:v>1.1999999999999993</x:v>
      </x:c>
      <x:c r="I83" s="24" t="n">
        <x:f>G83^2</x:f>
        <x:v>1.4399999999999984</x:v>
      </x:c>
    </x:row>
    <x:row r="84">
      <x:c r="A84" t="str">
        <x:v>C011</x:v>
      </x:c>
      <x:c r="B84" t="str">
        <x:v>P011</x:v>
      </x:c>
      <x:c r="C84" t="str">
        <x:v>DE_BB_2024</x:v>
      </x:c>
      <x:c r="D84" t="str">
        <x:v>BVB/FW</x:v>
      </x:c>
      <x:c r="E84" s="24" t="n">
        <x:v>4</x:v>
      </x:c>
      <x:c r="F84" s="24" t="n">
        <x:v>3.5</x:v>
      </x:c>
      <x:c r="G84" s="24" t="n">
        <x:f>E84-F84</x:f>
        <x:v>0.5</x:v>
      </x:c>
      <x:c r="H84" s="24" t="n">
        <x:f>ABS(G84)</x:f>
        <x:v>0.5</x:v>
      </x:c>
      <x:c r="I84" s="24" t="n">
        <x:f>G84^2</x:f>
        <x:v>0.25</x:v>
      </x:c>
    </x:row>
    <x:row r="85">
      <x:c r="A85" t="str">
        <x:v>C011</x:v>
      </x:c>
      <x:c r="B85" t="str">
        <x:v>P011</x:v>
      </x:c>
      <x:c r="C85" t="str">
        <x:v>DE_BB_2024</x:v>
      </x:c>
      <x:c r="D85" t="str">
        <x:v>BSW</x:v>
      </x:c>
      <x:c r="E85" s="24" t="n">
        <x:v>13</x:v>
      </x:c>
      <x:c r="F85" s="24" t="n">
        <x:v>13</x:v>
      </x:c>
      <x:c r="G85" s="24" t="n">
        <x:f>E85-F85</x:f>
        <x:v>0</x:v>
      </x:c>
      <x:c r="H85" s="24" t="n">
        <x:f>ABS(G85)</x:f>
        <x:v>0</x:v>
      </x:c>
      <x:c r="I85" s="24" t="n">
        <x:f>G85^2</x:f>
        <x:v>0</x:v>
      </x:c>
    </x:row>
    <x:row r="86">
      <x:c r="A86" t="str">
        <x:v>C011</x:v>
      </x:c>
      <x:c r="B86" t="str">
        <x:v>P011</x:v>
      </x:c>
      <x:c r="C86" t="str">
        <x:v>DE_BB_2024</x:v>
      </x:c>
      <x:c r="D86" t="str">
        <x:v>Sonstige</x:v>
      </x:c>
      <x:c r="E86" s="24" t="n">
        <x:v>5</x:v>
      </x:c>
      <x:c r="F86" s="24" t="n">
        <x:v>4.6</x:v>
      </x:c>
      <x:c r="G86" s="24" t="n">
        <x:f>E86-F86</x:f>
        <x:v>0.40000000000000036</x:v>
      </x:c>
      <x:c r="H86" s="24" t="n">
        <x:f>ABS(G86)</x:f>
        <x:v>0.40000000000000036</x:v>
      </x:c>
      <x:c r="I86" s="24" t="n">
        <x:f>G86^2</x:f>
        <x:v>0.16000000000000028</x:v>
      </x:c>
    </x:row>
    <x:row r="87">
      <x:c r="A87" t="str">
        <x:v>C012</x:v>
      </x:c>
      <x:c r="B87" t="str">
        <x:v>P012</x:v>
      </x:c>
      <x:c r="C87" t="str">
        <x:v>DE_BB_2024</x:v>
      </x:c>
      <x:c r="D87" t="str">
        <x:v>CDU</x:v>
      </x:c>
      <x:c r="E87" s="24" t="n">
        <x:v>16</x:v>
      </x:c>
      <x:c r="F87" s="24" t="n">
        <x:v>12.1</x:v>
      </x:c>
      <x:c r="G87" s="24" t="n">
        <x:f>E87-F87</x:f>
        <x:v>3.9000000000000004</x:v>
      </x:c>
      <x:c r="H87" s="24" t="n">
        <x:f>ABS(G87)</x:f>
        <x:v>3.9000000000000004</x:v>
      </x:c>
      <x:c r="I87" s="24" t="n">
        <x:f>G87^2</x:f>
        <x:v>15.210000000000003</x:v>
      </x:c>
    </x:row>
    <x:row r="88">
      <x:c r="A88" t="str">
        <x:v>C012</x:v>
      </x:c>
      <x:c r="B88" t="str">
        <x:v>P012</x:v>
      </x:c>
      <x:c r="C88" t="str">
        <x:v>DE_BB_2024</x:v>
      </x:c>
      <x:c r="D88" t="str">
        <x:v>SPD</x:v>
      </x:c>
      <x:c r="E88" s="24" t="n">
        <x:v>26</x:v>
      </x:c>
      <x:c r="F88" s="24" t="n">
        <x:v>30.9</x:v>
      </x:c>
      <x:c r="G88" s="24" t="n">
        <x:f>E88-F88</x:f>
        <x:v>-4.899999999999999</x:v>
      </x:c>
      <x:c r="H88" s="24" t="n">
        <x:f>ABS(G88)</x:f>
        <x:v>4.899999999999999</x:v>
      </x:c>
      <x:c r="I88" s="24" t="n">
        <x:f>G88^2</x:f>
        <x:v>24.009999999999987</x:v>
      </x:c>
    </x:row>
    <x:row r="89">
      <x:c r="A89" t="str">
        <x:v>C012</x:v>
      </x:c>
      <x:c r="B89" t="str">
        <x:v>P012</x:v>
      </x:c>
      <x:c r="C89" t="str">
        <x:v>DE_BB_2024</x:v>
      </x:c>
      <x:c r="D89" t="str">
        <x:v>GRÜNE</x:v>
      </x:c>
      <x:c r="E89" s="24" t="n">
        <x:v>4.5</x:v>
      </x:c>
      <x:c r="F89" s="24" t="n">
        <x:v>4.1</x:v>
      </x:c>
      <x:c r="G89" s="24" t="n">
        <x:f>E89-F89</x:f>
        <x:v>0.40000000000000036</x:v>
      </x:c>
      <x:c r="H89" s="24" t="n">
        <x:f>ABS(G89)</x:f>
        <x:v>0.40000000000000036</x:v>
      </x:c>
      <x:c r="I89" s="24" t="n">
        <x:f>G89^2</x:f>
        <x:v>0.16000000000000028</x:v>
      </x:c>
    </x:row>
    <x:row r="90">
      <x:c r="A90" t="str">
        <x:v>C012</x:v>
      </x:c>
      <x:c r="B90" t="str">
        <x:v>P012</x:v>
      </x:c>
      <x:c r="C90" t="str">
        <x:v>DE_BB_2024</x:v>
      </x:c>
      <x:c r="D90" t="str">
        <x:v>LINKE</x:v>
      </x:c>
      <x:c r="E90" s="24" t="n">
        <x:v>4</x:v>
      </x:c>
      <x:c r="F90" s="24" t="n">
        <x:v>3</x:v>
      </x:c>
      <x:c r="G90" s="24" t="n">
        <x:f>E90-F90</x:f>
        <x:v>1</x:v>
      </x:c>
      <x:c r="H90" s="24" t="n">
        <x:f>ABS(G90)</x:f>
        <x:v>1</x:v>
      </x:c>
      <x:c r="I90" s="24" t="n">
        <x:f>G90^2</x:f>
        <x:v>1</x:v>
      </x:c>
    </x:row>
    <x:row r="91">
      <x:c r="A91" t="str">
        <x:v>C012</x:v>
      </x:c>
      <x:c r="B91" t="str">
        <x:v>P012</x:v>
      </x:c>
      <x:c r="C91" t="str">
        <x:v>DE_BB_2024</x:v>
      </x:c>
      <x:c r="D91" t="str">
        <x:v>AfD</x:v>
      </x:c>
      <x:c r="E91" s="24" t="n">
        <x:v>27</x:v>
      </x:c>
      <x:c r="F91" s="24" t="n">
        <x:v>29.2</x:v>
      </x:c>
      <x:c r="G91" s="24" t="n">
        <x:f>E91-F91</x:f>
        <x:v>-2.1999999999999993</x:v>
      </x:c>
      <x:c r="H91" s="24" t="n">
        <x:f>ABS(G91)</x:f>
        <x:v>2.1999999999999993</x:v>
      </x:c>
      <x:c r="I91" s="24" t="n">
        <x:f>G91^2</x:f>
        <x:v>4.839999999999997</x:v>
      </x:c>
    </x:row>
    <x:row r="92">
      <x:c r="A92" t="str">
        <x:v>C012</x:v>
      </x:c>
      <x:c r="B92" t="str">
        <x:v>P012</x:v>
      </x:c>
      <x:c r="C92" t="str">
        <x:v>DE_BB_2024</x:v>
      </x:c>
      <x:c r="D92" t="str">
        <x:v>BVB/FW</x:v>
      </x:c>
      <x:c r="E92" s="24" t="n">
        <x:v>4.5</x:v>
      </x:c>
      <x:c r="F92" s="24" t="n">
        <x:v>3.5</x:v>
      </x:c>
      <x:c r="G92" s="24" t="n">
        <x:f>E92-F92</x:f>
        <x:v>1</x:v>
      </x:c>
      <x:c r="H92" s="24" t="n">
        <x:f>ABS(G92)</x:f>
        <x:v>1</x:v>
      </x:c>
      <x:c r="I92" s="24" t="n">
        <x:f>G92^2</x:f>
        <x:v>1</x:v>
      </x:c>
    </x:row>
    <x:row r="93">
      <x:c r="A93" t="str">
        <x:v>C012</x:v>
      </x:c>
      <x:c r="B93" t="str">
        <x:v>P012</x:v>
      </x:c>
      <x:c r="C93" t="str">
        <x:v>DE_BB_2024</x:v>
      </x:c>
      <x:c r="D93" t="str">
        <x:v>BSW</x:v>
      </x:c>
      <x:c r="E93" s="24" t="n">
        <x:v>13</x:v>
      </x:c>
      <x:c r="F93" s="24" t="n">
        <x:v>13</x:v>
      </x:c>
      <x:c r="G93" s="24" t="n">
        <x:f>E93-F93</x:f>
        <x:v>0</x:v>
      </x:c>
      <x:c r="H93" s="24" t="n">
        <x:f>ABS(G93)</x:f>
        <x:v>0</x:v>
      </x:c>
      <x:c r="I93" s="24" t="n">
        <x:f>G93^2</x:f>
        <x:v>0</x:v>
      </x:c>
    </x:row>
    <x:row r="94">
      <x:c r="A94" t="str">
        <x:v>C012</x:v>
      </x:c>
      <x:c r="B94" t="str">
        <x:v>P012</x:v>
      </x:c>
      <x:c r="C94" t="str">
        <x:v>DE_BB_2024</x:v>
      </x:c>
      <x:c r="D94" t="str">
        <x:v>Sonstige</x:v>
      </x:c>
      <x:c r="E94" s="24" t="n">
        <x:v>5</x:v>
      </x:c>
      <x:c r="F94" s="24" t="n">
        <x:v>4.6</x:v>
      </x:c>
      <x:c r="G94" s="24" t="n">
        <x:f>E94-F94</x:f>
        <x:v>0.40000000000000036</x:v>
      </x:c>
      <x:c r="H94" s="24" t="n">
        <x:f>ABS(G94)</x:f>
        <x:v>0.40000000000000036</x:v>
      </x:c>
      <x:c r="I94" s="24" t="n">
        <x:f>G94^2</x:f>
        <x:v>0.16000000000000028</x:v>
      </x:c>
    </x:row>
    <x:row r="95">
      <x:c r="A95" t="str">
        <x:v>C013</x:v>
      </x:c>
      <x:c r="B95" t="str">
        <x:v>P013</x:v>
      </x:c>
      <x:c r="C95" t="str">
        <x:v>DE_BB_2024</x:v>
      </x:c>
      <x:c r="D95" t="str">
        <x:v>CDU</x:v>
      </x:c>
      <x:c r="E95" s="24" t="n">
        <x:v>16</x:v>
      </x:c>
      <x:c r="F95" s="24" t="n">
        <x:v>12.1</x:v>
      </x:c>
      <x:c r="G95" s="24" t="n">
        <x:f>E95-F95</x:f>
        <x:v>3.9000000000000004</x:v>
      </x:c>
      <x:c r="H95" s="24" t="n">
        <x:f>ABS(G95)</x:f>
        <x:v>3.9000000000000004</x:v>
      </x:c>
      <x:c r="I95" s="24" t="n">
        <x:f>G95^2</x:f>
        <x:v>15.210000000000003</x:v>
      </x:c>
    </x:row>
    <x:row r="96">
      <x:c r="A96" t="str">
        <x:v>C013</x:v>
      </x:c>
      <x:c r="B96" t="str">
        <x:v>P013</x:v>
      </x:c>
      <x:c r="C96" t="str">
        <x:v>DE_BB_2024</x:v>
      </x:c>
      <x:c r="D96" t="str">
        <x:v>SPD</x:v>
      </x:c>
      <x:c r="E96" s="24" t="n">
        <x:v>25</x:v>
      </x:c>
      <x:c r="F96" s="24" t="n">
        <x:v>30.9</x:v>
      </x:c>
      <x:c r="G96" s="24" t="n">
        <x:f>E96-F96</x:f>
        <x:v>-5.899999999999999</x:v>
      </x:c>
      <x:c r="H96" s="24" t="n">
        <x:f>ABS(G96)</x:f>
        <x:v>5.899999999999999</x:v>
      </x:c>
      <x:c r="I96" s="24" t="n">
        <x:f>G96^2</x:f>
        <x:v>34.80999999999998</x:v>
      </x:c>
    </x:row>
    <x:row r="97">
      <x:c r="A97" t="str">
        <x:v>C013</x:v>
      </x:c>
      <x:c r="B97" t="str">
        <x:v>P013</x:v>
      </x:c>
      <x:c r="C97" t="str">
        <x:v>DE_BB_2024</x:v>
      </x:c>
      <x:c r="D97" t="str">
        <x:v>GRÜNE</x:v>
      </x:c>
      <x:c r="E97" s="24" t="n">
        <x:v>4</x:v>
      </x:c>
      <x:c r="F97" s="24" t="n">
        <x:v>4.1</x:v>
      </x:c>
      <x:c r="G97" s="24" t="n">
        <x:f>E97-F97</x:f>
        <x:v>-0.09999999999999964</x:v>
      </x:c>
      <x:c r="H97" s="24" t="n">
        <x:f>ABS(G97)</x:f>
        <x:v>0.09999999999999964</x:v>
      </x:c>
      <x:c r="I97" s="24" t="n">
        <x:f>G97^2</x:f>
        <x:v>0.009999999999999929</x:v>
      </x:c>
    </x:row>
    <x:row r="98">
      <x:c r="A98" t="str">
        <x:v>C013</x:v>
      </x:c>
      <x:c r="B98" t="str">
        <x:v>P013</x:v>
      </x:c>
      <x:c r="C98" t="str">
        <x:v>DE_BB_2024</x:v>
      </x:c>
      <x:c r="D98" t="str">
        <x:v>LINKE</x:v>
      </x:c>
      <x:c r="E98" s="24" t="n">
        <x:v>3</x:v>
      </x:c>
      <x:c r="F98" s="24" t="n">
        <x:v>3</x:v>
      </x:c>
      <x:c r="G98" s="24" t="n">
        <x:f>E98-F98</x:f>
        <x:v>0</x:v>
      </x:c>
      <x:c r="H98" s="24" t="n">
        <x:f>ABS(G98)</x:f>
        <x:v>0</x:v>
      </x:c>
      <x:c r="I98" s="24" t="n">
        <x:f>G98^2</x:f>
        <x:v>0</x:v>
      </x:c>
    </x:row>
    <x:row r="99">
      <x:c r="A99" t="str">
        <x:v>C013</x:v>
      </x:c>
      <x:c r="B99" t="str">
        <x:v>P013</x:v>
      </x:c>
      <x:c r="C99" t="str">
        <x:v>DE_BB_2024</x:v>
      </x:c>
      <x:c r="D99" t="str">
        <x:v>AfD</x:v>
      </x:c>
      <x:c r="E99" s="24" t="n">
        <x:v>28</x:v>
      </x:c>
      <x:c r="F99" s="24" t="n">
        <x:v>29.2</x:v>
      </x:c>
      <x:c r="G99" s="24" t="n">
        <x:f>E99-F99</x:f>
        <x:v>-1.1999999999999993</x:v>
      </x:c>
      <x:c r="H99" s="24" t="n">
        <x:f>ABS(G99)</x:f>
        <x:v>1.1999999999999993</x:v>
      </x:c>
      <x:c r="I99" s="24" t="n">
        <x:f>G99^2</x:f>
        <x:v>1.4399999999999984</x:v>
      </x:c>
    </x:row>
    <x:row r="100">
      <x:c r="A100" t="str">
        <x:v>C013</x:v>
      </x:c>
      <x:c r="B100" t="str">
        <x:v>P013</x:v>
      </x:c>
      <x:c r="C100" t="str">
        <x:v>DE_BB_2024</x:v>
      </x:c>
      <x:c r="D100" t="str">
        <x:v>BVB/FW</x:v>
      </x:c>
      <x:c r="E100" s="24" t="n">
        <x:v>4</x:v>
      </x:c>
      <x:c r="F100" s="24" t="n">
        <x:v>3.5</x:v>
      </x:c>
      <x:c r="G100" s="24" t="n">
        <x:f>E100-F100</x:f>
        <x:v>0.5</x:v>
      </x:c>
      <x:c r="H100" s="24" t="n">
        <x:f>ABS(G100)</x:f>
        <x:v>0.5</x:v>
      </x:c>
      <x:c r="I100" s="24" t="n">
        <x:f>G100^2</x:f>
        <x:v>0.25</x:v>
      </x:c>
    </x:row>
    <x:row r="101">
      <x:c r="A101" t="str">
        <x:v>C013</x:v>
      </x:c>
      <x:c r="B101" t="str">
        <x:v>P013</x:v>
      </x:c>
      <x:c r="C101" t="str">
        <x:v>DE_BB_2024</x:v>
      </x:c>
      <x:c r="D101" t="str">
        <x:v>BSW</x:v>
      </x:c>
      <x:c r="E101" s="24" t="n">
        <x:v>14</x:v>
      </x:c>
      <x:c r="F101" s="24" t="n">
        <x:v>13</x:v>
      </x:c>
      <x:c r="G101" s="24" t="n">
        <x:f>E101-F101</x:f>
        <x:v>1</x:v>
      </x:c>
      <x:c r="H101" s="24" t="n">
        <x:f>ABS(G101)</x:f>
        <x:v>1</x:v>
      </x:c>
      <x:c r="I101" s="24" t="n">
        <x:f>G101^2</x:f>
        <x:v>1</x:v>
      </x:c>
    </x:row>
    <x:row r="102">
      <x:c r="A102" t="str">
        <x:v>C013</x:v>
      </x:c>
      <x:c r="B102" t="str">
        <x:v>P013</x:v>
      </x:c>
      <x:c r="C102" t="str">
        <x:v>DE_BB_2024</x:v>
      </x:c>
      <x:c r="D102" t="str">
        <x:v>Sonstige</x:v>
      </x:c>
      <x:c r="E102" s="24" t="n">
        <x:v>6</x:v>
      </x:c>
      <x:c r="F102" s="24" t="n">
        <x:v>4.6</x:v>
      </x:c>
      <x:c r="G102" s="24" t="n">
        <x:f>E102-F102</x:f>
        <x:v>1.4000000000000004</x:v>
      </x:c>
      <x:c r="H102" s="24" t="n">
        <x:f>ABS(G102)</x:f>
        <x:v>1.4000000000000004</x:v>
      </x:c>
      <x:c r="I102" s="24" t="n">
        <x:f>G102^2</x:f>
        <x:v>1.960000000000001</x:v>
      </x:c>
    </x:row>
    <x:row r="103">
      <x:c r="A103" t="str">
        <x:v>C014</x:v>
      </x:c>
      <x:c r="B103" t="str">
        <x:v>P014</x:v>
      </x:c>
      <x:c r="C103" t="str">
        <x:v>DE_TH_2024</x:v>
      </x:c>
      <x:c r="D103" t="str">
        <x:v>CDU</x:v>
      </x:c>
      <x:c r="E103" s="24" t="n">
        <x:v>23</x:v>
      </x:c>
      <x:c r="F103" s="24" t="n">
        <x:v>23.6</x:v>
      </x:c>
      <x:c r="G103" s="24" t="n">
        <x:f>E103-F103</x:f>
        <x:v>-0.6000000000000014</x:v>
      </x:c>
      <x:c r="H103" s="24" t="n">
        <x:f>ABS(G103)</x:f>
        <x:v>0.6000000000000014</x:v>
      </x:c>
      <x:c r="I103" s="24" t="n">
        <x:f>G103^2</x:f>
        <x:v>0.3600000000000017</x:v>
      </x:c>
    </x:row>
    <x:row r="104">
      <x:c r="A104" t="str">
        <x:v>C014</x:v>
      </x:c>
      <x:c r="B104" t="str">
        <x:v>P014</x:v>
      </x:c>
      <x:c r="C104" t="str">
        <x:v>DE_TH_2024</x:v>
      </x:c>
      <x:c r="D104" t="str">
        <x:v>SPD</x:v>
      </x:c>
      <x:c r="E104" s="24" t="n">
        <x:v>7</x:v>
      </x:c>
      <x:c r="F104" s="24" t="n">
        <x:v>6.1</x:v>
      </x:c>
      <x:c r="G104" s="24" t="n">
        <x:f>E104-F104</x:f>
        <x:v>0.9000000000000004</x:v>
      </x:c>
      <x:c r="H104" s="24" t="n">
        <x:f>ABS(G104)</x:f>
        <x:v>0.9000000000000004</x:v>
      </x:c>
      <x:c r="I104" s="24" t="n">
        <x:f>G104^2</x:f>
        <x:v>0.8100000000000006</x:v>
      </x:c>
    </x:row>
    <x:row r="105">
      <x:c r="A105" t="str">
        <x:v>C014</x:v>
      </x:c>
      <x:c r="B105" t="str">
        <x:v>P014</x:v>
      </x:c>
      <x:c r="C105" t="str">
        <x:v>DE_TH_2024</x:v>
      </x:c>
      <x:c r="D105" t="str">
        <x:v>GRÜNE</x:v>
      </x:c>
      <x:c r="E105" s="24" t="n">
        <x:v>3</x:v>
      </x:c>
      <x:c r="F105" s="24" t="n">
        <x:v>3.2</x:v>
      </x:c>
      <x:c r="G105" s="24" t="n">
        <x:f>E105-F105</x:f>
        <x:v>-0.20000000000000018</x:v>
      </x:c>
      <x:c r="H105" s="24" t="n">
        <x:f>ABS(G105)</x:f>
        <x:v>0.20000000000000018</x:v>
      </x:c>
      <x:c r="I105" s="24" t="n">
        <x:f>G105^2</x:f>
        <x:v>0.04000000000000007</x:v>
      </x:c>
    </x:row>
    <x:row r="106">
      <x:c r="A106" t="str">
        <x:v>C014</x:v>
      </x:c>
      <x:c r="B106" t="str">
        <x:v>P014</x:v>
      </x:c>
      <x:c r="C106" t="str">
        <x:v>DE_TH_2024</x:v>
      </x:c>
      <x:c r="D106" t="str">
        <x:v>LINKE</x:v>
      </x:c>
      <x:c r="E106" s="24" t="n">
        <x:v>13</x:v>
      </x:c>
      <x:c r="F106" s="24" t="n">
        <x:v>13.1</x:v>
      </x:c>
      <x:c r="G106" s="24" t="n">
        <x:f>E106-F106</x:f>
        <x:v>-0.09999999999999964</x:v>
      </x:c>
      <x:c r="H106" s="24" t="n">
        <x:f>ABS(G106)</x:f>
        <x:v>0.09999999999999964</x:v>
      </x:c>
      <x:c r="I106" s="24" t="n">
        <x:f>G106^2</x:f>
        <x:v>0.009999999999999929</x:v>
      </x:c>
    </x:row>
    <x:row r="107">
      <x:c r="A107" t="str">
        <x:v>C014</x:v>
      </x:c>
      <x:c r="B107" t="str">
        <x:v>P014</x:v>
      </x:c>
      <x:c r="C107" t="str">
        <x:v>DE_TH_2024</x:v>
      </x:c>
      <x:c r="D107" t="str">
        <x:v>AfD</x:v>
      </x:c>
      <x:c r="E107" s="24" t="n">
        <x:v>30</x:v>
      </x:c>
      <x:c r="F107" s="24" t="n">
        <x:v>32.8</x:v>
      </x:c>
      <x:c r="G107" s="24" t="n">
        <x:f>E107-F107</x:f>
        <x:v>-2.799999999999997</x:v>
      </x:c>
      <x:c r="H107" s="24" t="n">
        <x:f>ABS(G107)</x:f>
        <x:v>2.799999999999997</x:v>
      </x:c>
      <x:c r="I107" s="24" t="n">
        <x:f>G107^2</x:f>
        <x:v>7.839999999999984</x:v>
      </x:c>
    </x:row>
    <x:row r="108">
      <x:c r="A108" t="str">
        <x:v>C014</x:v>
      </x:c>
      <x:c r="B108" t="str">
        <x:v>P014</x:v>
      </x:c>
      <x:c r="C108" t="str">
        <x:v>DE_TH_2024</x:v>
      </x:c>
      <x:c r="D108" t="str">
        <x:v>BSW</x:v>
      </x:c>
      <x:c r="E108" s="24" t="n">
        <x:v>17</x:v>
      </x:c>
      <x:c r="F108" s="24" t="n">
        <x:v>18</x:v>
      </x:c>
      <x:c r="G108" s="24" t="n">
        <x:f>E108-F108</x:f>
        <x:v>-1</x:v>
      </x:c>
      <x:c r="H108" s="24" t="n">
        <x:f>ABS(G108)</x:f>
        <x:v>1</x:v>
      </x:c>
      <x:c r="I108" s="24" t="n">
        <x:f>G108^2</x:f>
        <x:v>1</x:v>
      </x:c>
    </x:row>
    <x:row r="109">
      <x:c r="A109" t="str">
        <x:v>C014</x:v>
      </x:c>
      <x:c r="B109" t="str">
        <x:v>P014</x:v>
      </x:c>
      <x:c r="C109" t="str">
        <x:v>DE_TH_2024</x:v>
      </x:c>
      <x:c r="D109" t="str">
        <x:v>Sonstige</x:v>
      </x:c>
      <x:c r="E109" s="24" t="n">
        <x:v>7</x:v>
      </x:c>
      <x:c r="F109" s="24" t="n">
        <x:v>5.4</x:v>
      </x:c>
      <x:c r="G109" s="24" t="n">
        <x:f>E109-F109</x:f>
        <x:v>1.5999999999999996</x:v>
      </x:c>
      <x:c r="H109" s="24" t="n">
        <x:f>ABS(G109)</x:f>
        <x:v>1.5999999999999996</x:v>
      </x:c>
      <x:c r="I109" s="24" t="n">
        <x:f>G109^2</x:f>
        <x:v>2.5599999999999987</x:v>
      </x:c>
    </x:row>
    <x:row r="110">
      <x:c r="A110" t="str">
        <x:v>C015</x:v>
      </x:c>
      <x:c r="B110" t="str">
        <x:v>P015</x:v>
      </x:c>
      <x:c r="C110" t="str">
        <x:v>DE_TH_2024</x:v>
      </x:c>
      <x:c r="D110" t="str">
        <x:v>CDU</x:v>
      </x:c>
      <x:c r="E110" s="24" t="n">
        <x:v>22</x:v>
      </x:c>
      <x:c r="F110" s="24" t="n">
        <x:v>23.6</x:v>
      </x:c>
      <x:c r="G110" s="24" t="n">
        <x:f>E110-F110</x:f>
        <x:v>-1.6000000000000014</x:v>
      </x:c>
      <x:c r="H110" s="24" t="n">
        <x:f>ABS(G110)</x:f>
        <x:v>1.6000000000000014</x:v>
      </x:c>
      <x:c r="I110" s="24" t="n">
        <x:f>G110^2</x:f>
        <x:v>2.5600000000000045</x:v>
      </x:c>
    </x:row>
    <x:row r="111">
      <x:c r="A111" t="str">
        <x:v>C015</x:v>
      </x:c>
      <x:c r="B111" t="str">
        <x:v>P015</x:v>
      </x:c>
      <x:c r="C111" t="str">
        <x:v>DE_TH_2024</x:v>
      </x:c>
      <x:c r="D111" t="str">
        <x:v>SPD</x:v>
      </x:c>
      <x:c r="E111" s="24" t="n">
        <x:v>7</x:v>
      </x:c>
      <x:c r="F111" s="24" t="n">
        <x:v>6.1</x:v>
      </x:c>
      <x:c r="G111" s="24" t="n">
        <x:f>E111-F111</x:f>
        <x:v>0.9000000000000004</x:v>
      </x:c>
      <x:c r="H111" s="24" t="n">
        <x:f>ABS(G111)</x:f>
        <x:v>0.9000000000000004</x:v>
      </x:c>
      <x:c r="I111" s="24" t="n">
        <x:f>G111^2</x:f>
        <x:v>0.8100000000000006</x:v>
      </x:c>
    </x:row>
    <x:row r="112">
      <x:c r="A112" t="str">
        <x:v>C015</x:v>
      </x:c>
      <x:c r="B112" t="str">
        <x:v>P015</x:v>
      </x:c>
      <x:c r="C112" t="str">
        <x:v>DE_TH_2024</x:v>
      </x:c>
      <x:c r="D112" t="str">
        <x:v>GRÜNE</x:v>
      </x:c>
      <x:c r="E112" s="24" t="n">
        <x:v>4</x:v>
      </x:c>
      <x:c r="F112" s="24" t="n">
        <x:v>3.2</x:v>
      </x:c>
      <x:c r="G112" s="24" t="n">
        <x:f>E112-F112</x:f>
        <x:v>0.7999999999999998</x:v>
      </x:c>
      <x:c r="H112" s="24" t="n">
        <x:f>ABS(G112)</x:f>
        <x:v>0.7999999999999998</x:v>
      </x:c>
      <x:c r="I112" s="24" t="n">
        <x:f>G112^2</x:f>
        <x:v>0.6399999999999997</x:v>
      </x:c>
    </x:row>
    <x:row r="113">
      <x:c r="A113" t="str">
        <x:v>C015</x:v>
      </x:c>
      <x:c r="B113" t="str">
        <x:v>P015</x:v>
      </x:c>
      <x:c r="C113" t="str">
        <x:v>DE_TH_2024</x:v>
      </x:c>
      <x:c r="D113" t="str">
        <x:v>LINKE</x:v>
      </x:c>
      <x:c r="E113" s="24" t="n">
        <x:v>14</x:v>
      </x:c>
      <x:c r="F113" s="24" t="n">
        <x:v>13.1</x:v>
      </x:c>
      <x:c r="G113" s="24" t="n">
        <x:f>E113-F113</x:f>
        <x:v>0.9000000000000004</x:v>
      </x:c>
      <x:c r="H113" s="24" t="n">
        <x:f>ABS(G113)</x:f>
        <x:v>0.9000000000000004</x:v>
      </x:c>
      <x:c r="I113" s="24" t="n">
        <x:f>G113^2</x:f>
        <x:v>0.8100000000000006</x:v>
      </x:c>
    </x:row>
    <x:row r="114">
      <x:c r="A114" t="str">
        <x:v>C015</x:v>
      </x:c>
      <x:c r="B114" t="str">
        <x:v>P015</x:v>
      </x:c>
      <x:c r="C114" t="str">
        <x:v>DE_TH_2024</x:v>
      </x:c>
      <x:c r="D114" t="str">
        <x:v>AfD</x:v>
      </x:c>
      <x:c r="E114" s="24" t="n">
        <x:v>30</x:v>
      </x:c>
      <x:c r="F114" s="24" t="n">
        <x:v>32.8</x:v>
      </x:c>
      <x:c r="G114" s="24" t="n">
        <x:f>E114-F114</x:f>
        <x:v>-2.799999999999997</x:v>
      </x:c>
      <x:c r="H114" s="24" t="n">
        <x:f>ABS(G114)</x:f>
        <x:v>2.799999999999997</x:v>
      </x:c>
      <x:c r="I114" s="24" t="n">
        <x:f>G114^2</x:f>
        <x:v>7.839999999999984</x:v>
      </x:c>
    </x:row>
    <x:row r="115">
      <x:c r="A115" t="str">
        <x:v>C015</x:v>
      </x:c>
      <x:c r="B115" t="str">
        <x:v>P015</x:v>
      </x:c>
      <x:c r="C115" t="str">
        <x:v>DE_TH_2024</x:v>
      </x:c>
      <x:c r="D115" t="str">
        <x:v>BSW</x:v>
      </x:c>
      <x:c r="E115" s="24" t="n">
        <x:v>17</x:v>
      </x:c>
      <x:c r="F115" s="24" t="n">
        <x:v>18</x:v>
      </x:c>
      <x:c r="G115" s="24" t="n">
        <x:f>E115-F115</x:f>
        <x:v>-1</x:v>
      </x:c>
      <x:c r="H115" s="24" t="n">
        <x:f>ABS(G115)</x:f>
        <x:v>1</x:v>
      </x:c>
      <x:c r="I115" s="24" t="n">
        <x:f>G115^2</x:f>
        <x:v>1</x:v>
      </x:c>
    </x:row>
    <x:row r="116">
      <x:c r="A116" t="str">
        <x:v>C015</x:v>
      </x:c>
      <x:c r="B116" t="str">
        <x:v>P015</x:v>
      </x:c>
      <x:c r="C116" t="str">
        <x:v>DE_TH_2024</x:v>
      </x:c>
      <x:c r="D116" t="str">
        <x:v>Sonstige</x:v>
      </x:c>
      <x:c r="E116" s="24" t="n">
        <x:v>6</x:v>
      </x:c>
      <x:c r="F116" s="24" t="n">
        <x:v>5.4</x:v>
      </x:c>
      <x:c r="G116" s="24" t="n">
        <x:f>E116-F116</x:f>
        <x:v>0.5999999999999996</x:v>
      </x:c>
      <x:c r="H116" s="24" t="n">
        <x:f>ABS(G116)</x:f>
        <x:v>0.5999999999999996</x:v>
      </x:c>
      <x:c r="I116" s="24" t="n">
        <x:f>G116^2</x:f>
        <x:v>0.3599999999999996</x:v>
      </x:c>
    </x:row>
    <x:row r="117">
      <x:c r="A117" t="str">
        <x:v>C016</x:v>
      </x:c>
      <x:c r="B117" t="str">
        <x:v>P016</x:v>
      </x:c>
      <x:c r="C117" t="str">
        <x:v>DE_TH_2024</x:v>
      </x:c>
      <x:c r="D117" t="str">
        <x:v>CDU</x:v>
      </x:c>
      <x:c r="E117" s="24" t="n">
        <x:v>23</x:v>
      </x:c>
      <x:c r="F117" s="24" t="n">
        <x:v>23.6</x:v>
      </x:c>
      <x:c r="G117" s="24" t="n">
        <x:f>E117-F117</x:f>
        <x:v>-0.6000000000000014</x:v>
      </x:c>
      <x:c r="H117" s="24" t="n">
        <x:f>ABS(G117)</x:f>
        <x:v>0.6000000000000014</x:v>
      </x:c>
      <x:c r="I117" s="24" t="n">
        <x:f>G117^2</x:f>
        <x:v>0.3600000000000017</x:v>
      </x:c>
    </x:row>
    <x:row r="118">
      <x:c r="A118" t="str">
        <x:v>C016</x:v>
      </x:c>
      <x:c r="B118" t="str">
        <x:v>P016</x:v>
      </x:c>
      <x:c r="C118" t="str">
        <x:v>DE_TH_2024</x:v>
      </x:c>
      <x:c r="D118" t="str">
        <x:v>SPD</x:v>
      </x:c>
      <x:c r="E118" s="24" t="n">
        <x:v>7</x:v>
      </x:c>
      <x:c r="F118" s="24" t="n">
        <x:v>6.1</x:v>
      </x:c>
      <x:c r="G118" s="24" t="n">
        <x:f>E118-F118</x:f>
        <x:v>0.9000000000000004</x:v>
      </x:c>
      <x:c r="H118" s="24" t="n">
        <x:f>ABS(G118)</x:f>
        <x:v>0.9000000000000004</x:v>
      </x:c>
      <x:c r="I118" s="24" t="n">
        <x:f>G118^2</x:f>
        <x:v>0.8100000000000006</x:v>
      </x:c>
    </x:row>
    <x:row r="119">
      <x:c r="A119" t="str">
        <x:v>C016</x:v>
      </x:c>
      <x:c r="B119" t="str">
        <x:v>P016</x:v>
      </x:c>
      <x:c r="C119" t="str">
        <x:v>DE_TH_2024</x:v>
      </x:c>
      <x:c r="D119" t="str">
        <x:v>GRÜNE</x:v>
      </x:c>
      <x:c r="E119" s="24" t="n">
        <x:v>4</x:v>
      </x:c>
      <x:c r="F119" s="24" t="n">
        <x:v>3.2</x:v>
      </x:c>
      <x:c r="G119" s="24" t="n">
        <x:f>E119-F119</x:f>
        <x:v>0.7999999999999998</x:v>
      </x:c>
      <x:c r="H119" s="24" t="n">
        <x:f>ABS(G119)</x:f>
        <x:v>0.7999999999999998</x:v>
      </x:c>
      <x:c r="I119" s="24" t="n">
        <x:f>G119^2</x:f>
        <x:v>0.6399999999999997</x:v>
      </x:c>
    </x:row>
    <x:row r="120">
      <x:c r="A120" t="str">
        <x:v>C016</x:v>
      </x:c>
      <x:c r="B120" t="str">
        <x:v>P016</x:v>
      </x:c>
      <x:c r="C120" t="str">
        <x:v>DE_TH_2024</x:v>
      </x:c>
      <x:c r="D120" t="str">
        <x:v>LINKE</x:v>
      </x:c>
      <x:c r="E120" s="24" t="n">
        <x:v>14</x:v>
      </x:c>
      <x:c r="F120" s="24" t="n">
        <x:v>13.1</x:v>
      </x:c>
      <x:c r="G120" s="24" t="n">
        <x:f>E120-F120</x:f>
        <x:v>0.9000000000000004</x:v>
      </x:c>
      <x:c r="H120" s="24" t="n">
        <x:f>ABS(G120)</x:f>
        <x:v>0.9000000000000004</x:v>
      </x:c>
      <x:c r="I120" s="24" t="n">
        <x:f>G120^2</x:f>
        <x:v>0.8100000000000006</x:v>
      </x:c>
    </x:row>
    <x:row r="121">
      <x:c r="A121" t="str">
        <x:v>C016</x:v>
      </x:c>
      <x:c r="B121" t="str">
        <x:v>P016</x:v>
      </x:c>
      <x:c r="C121" t="str">
        <x:v>DE_TH_2024</x:v>
      </x:c>
      <x:c r="D121" t="str">
        <x:v>AfD</x:v>
      </x:c>
      <x:c r="E121" s="24" t="n">
        <x:v>29</x:v>
      </x:c>
      <x:c r="F121" s="24" t="n">
        <x:v>32.8</x:v>
      </x:c>
      <x:c r="G121" s="24" t="n">
        <x:f>E121-F121</x:f>
        <x:v>-3.799999999999997</x:v>
      </x:c>
      <x:c r="H121" s="24" t="n">
        <x:f>ABS(G121)</x:f>
        <x:v>3.799999999999997</x:v>
      </x:c>
      <x:c r="I121" s="24" t="n">
        <x:f>G121^2</x:f>
        <x:v>14.439999999999978</x:v>
      </x:c>
    </x:row>
    <x:row r="122">
      <x:c r="A122" t="str">
        <x:v>C016</x:v>
      </x:c>
      <x:c r="B122" t="str">
        <x:v>P016</x:v>
      </x:c>
      <x:c r="C122" t="str">
        <x:v>DE_TH_2024</x:v>
      </x:c>
      <x:c r="D122" t="str">
        <x:v>BSW</x:v>
      </x:c>
      <x:c r="E122" s="24" t="n">
        <x:v>17</x:v>
      </x:c>
      <x:c r="F122" s="24" t="n">
        <x:v>18</x:v>
      </x:c>
      <x:c r="G122" s="24" t="n">
        <x:f>E122-F122</x:f>
        <x:v>-1</x:v>
      </x:c>
      <x:c r="H122" s="24" t="n">
        <x:f>ABS(G122)</x:f>
        <x:v>1</x:v>
      </x:c>
      <x:c r="I122" s="24" t="n">
        <x:f>G122^2</x:f>
        <x:v>1</x:v>
      </x:c>
    </x:row>
    <x:row r="123">
      <x:c r="A123" t="str">
        <x:v>C016</x:v>
      </x:c>
      <x:c r="B123" t="str">
        <x:v>P016</x:v>
      </x:c>
      <x:c r="C123" t="str">
        <x:v>DE_TH_2024</x:v>
      </x:c>
      <x:c r="D123" t="str">
        <x:v>Sonstige</x:v>
      </x:c>
      <x:c r="E123" s="24" t="n">
        <x:v>6</x:v>
      </x:c>
      <x:c r="F123" s="24" t="n">
        <x:v>5.4</x:v>
      </x:c>
      <x:c r="G123" s="24" t="n">
        <x:f>E123-F123</x:f>
        <x:v>0.5999999999999996</x:v>
      </x:c>
      <x:c r="H123" s="24" t="n">
        <x:f>ABS(G123)</x:f>
        <x:v>0.5999999999999996</x:v>
      </x:c>
      <x:c r="I123" s="24" t="n">
        <x:f>G123^2</x:f>
        <x:v>0.3599999999999996</x:v>
      </x:c>
    </x:row>
    <x:row r="124">
      <x:c r="A124" t="str">
        <x:v>C017</x:v>
      </x:c>
      <x:c r="B124" t="str">
        <x:v>P017</x:v>
      </x:c>
      <x:c r="C124" t="str">
        <x:v>DE_TH_2024</x:v>
      </x:c>
      <x:c r="D124" t="str">
        <x:v>CDU</x:v>
      </x:c>
      <x:c r="E124" s="24" t="n">
        <x:v>23</x:v>
      </x:c>
      <x:c r="F124" s="24" t="n">
        <x:v>23.6</x:v>
      </x:c>
      <x:c r="G124" s="24" t="n">
        <x:f>E124-F124</x:f>
        <x:v>-0.6000000000000014</x:v>
      </x:c>
      <x:c r="H124" s="24" t="n">
        <x:f>ABS(G124)</x:f>
        <x:v>0.6000000000000014</x:v>
      </x:c>
      <x:c r="I124" s="24" t="n">
        <x:f>G124^2</x:f>
        <x:v>0.3600000000000017</x:v>
      </x:c>
    </x:row>
    <x:row r="125">
      <x:c r="A125" t="str">
        <x:v>C017</x:v>
      </x:c>
      <x:c r="B125" t="str">
        <x:v>P017</x:v>
      </x:c>
      <x:c r="C125" t="str">
        <x:v>DE_TH_2024</x:v>
      </x:c>
      <x:c r="D125" t="str">
        <x:v>SPD</x:v>
      </x:c>
      <x:c r="E125" s="24" t="n">
        <x:v>6</x:v>
      </x:c>
      <x:c r="F125" s="24" t="n">
        <x:v>6.1</x:v>
      </x:c>
      <x:c r="G125" s="24" t="n">
        <x:f>E125-F125</x:f>
        <x:v>-0.09999999999999964</x:v>
      </x:c>
      <x:c r="H125" s="24" t="n">
        <x:f>ABS(G125)</x:f>
        <x:v>0.09999999999999964</x:v>
      </x:c>
      <x:c r="I125" s="24" t="n">
        <x:f>G125^2</x:f>
        <x:v>0.009999999999999929</x:v>
      </x:c>
    </x:row>
    <x:row r="126">
      <x:c r="A126" t="str">
        <x:v>C017</x:v>
      </x:c>
      <x:c r="B126" t="str">
        <x:v>P017</x:v>
      </x:c>
      <x:c r="C126" t="str">
        <x:v>DE_TH_2024</x:v>
      </x:c>
      <x:c r="D126" t="str">
        <x:v>GRÜNE</x:v>
      </x:c>
      <x:c r="E126" s="24" t="n">
        <x:v>4</x:v>
      </x:c>
      <x:c r="F126" s="24" t="n">
        <x:v>3.2</x:v>
      </x:c>
      <x:c r="G126" s="24" t="n">
        <x:f>E126-F126</x:f>
        <x:v>0.7999999999999998</x:v>
      </x:c>
      <x:c r="H126" s="24" t="n">
        <x:f>ABS(G126)</x:f>
        <x:v>0.7999999999999998</x:v>
      </x:c>
      <x:c r="I126" s="24" t="n">
        <x:f>G126^2</x:f>
        <x:v>0.6399999999999997</x:v>
      </x:c>
    </x:row>
    <x:row r="127">
      <x:c r="A127" t="str">
        <x:v>C017</x:v>
      </x:c>
      <x:c r="B127" t="str">
        <x:v>P017</x:v>
      </x:c>
      <x:c r="C127" t="str">
        <x:v>DE_TH_2024</x:v>
      </x:c>
      <x:c r="D127" t="str">
        <x:v>LINKE</x:v>
      </x:c>
      <x:c r="E127" s="24" t="n">
        <x:v>13</x:v>
      </x:c>
      <x:c r="F127" s="24" t="n">
        <x:v>13.1</x:v>
      </x:c>
      <x:c r="G127" s="24" t="n">
        <x:f>E127-F127</x:f>
        <x:v>-0.09999999999999964</x:v>
      </x:c>
      <x:c r="H127" s="24" t="n">
        <x:f>ABS(G127)</x:f>
        <x:v>0.09999999999999964</x:v>
      </x:c>
      <x:c r="I127" s="24" t="n">
        <x:f>G127^2</x:f>
        <x:v>0.009999999999999929</x:v>
      </x:c>
    </x:row>
    <x:row r="128">
      <x:c r="A128" t="str">
        <x:v>C017</x:v>
      </x:c>
      <x:c r="B128" t="str">
        <x:v>P017</x:v>
      </x:c>
      <x:c r="C128" t="str">
        <x:v>DE_TH_2024</x:v>
      </x:c>
      <x:c r="D128" t="str">
        <x:v>AfD</x:v>
      </x:c>
      <x:c r="E128" s="24" t="n">
        <x:v>29</x:v>
      </x:c>
      <x:c r="F128" s="24" t="n">
        <x:v>32.8</x:v>
      </x:c>
      <x:c r="G128" s="24" t="n">
        <x:f>E128-F128</x:f>
        <x:v>-3.799999999999997</x:v>
      </x:c>
      <x:c r="H128" s="24" t="n">
        <x:f>ABS(G128)</x:f>
        <x:v>3.799999999999997</x:v>
      </x:c>
      <x:c r="I128" s="24" t="n">
        <x:f>G128^2</x:f>
        <x:v>14.439999999999978</x:v>
      </x:c>
    </x:row>
    <x:row r="129">
      <x:c r="A129" t="str">
        <x:v>C017</x:v>
      </x:c>
      <x:c r="B129" t="str">
        <x:v>P017</x:v>
      </x:c>
      <x:c r="C129" t="str">
        <x:v>DE_TH_2024</x:v>
      </x:c>
      <x:c r="D129" t="str">
        <x:v>BSW</x:v>
      </x:c>
      <x:c r="E129" s="24" t="n">
        <x:v>18</x:v>
      </x:c>
      <x:c r="F129" s="24" t="n">
        <x:v>18</x:v>
      </x:c>
      <x:c r="G129" s="24" t="n">
        <x:f>E129-F129</x:f>
        <x:v>0</x:v>
      </x:c>
      <x:c r="H129" s="24" t="n">
        <x:f>ABS(G129)</x:f>
        <x:v>0</x:v>
      </x:c>
      <x:c r="I129" s="24" t="n">
        <x:f>G129^2</x:f>
        <x:v>0</x:v>
      </x:c>
    </x:row>
    <x:row r="130">
      <x:c r="A130" t="str">
        <x:v>C017</x:v>
      </x:c>
      <x:c r="B130" t="str">
        <x:v>P017</x:v>
      </x:c>
      <x:c r="C130" t="str">
        <x:v>DE_TH_2024</x:v>
      </x:c>
      <x:c r="D130" t="str">
        <x:v>Sonstige</x:v>
      </x:c>
      <x:c r="E130" s="24" t="n">
        <x:v>7</x:v>
      </x:c>
      <x:c r="F130" s="24" t="n">
        <x:v>5.4</x:v>
      </x:c>
      <x:c r="G130" s="24" t="n">
        <x:f>E130-F130</x:f>
        <x:v>1.5999999999999996</x:v>
      </x:c>
      <x:c r="H130" s="24" t="n">
        <x:f>ABS(G130)</x:f>
        <x:v>1.5999999999999996</x:v>
      </x:c>
      <x:c r="I130" s="24" t="n">
        <x:f>G130^2</x:f>
        <x:v>2.5599999999999987</x:v>
      </x:c>
    </x:row>
    <x:row r="131">
      <x:c r="A131" t="str">
        <x:v>C018</x:v>
      </x:c>
      <x:c r="B131" t="str">
        <x:v>P018</x:v>
      </x:c>
      <x:c r="C131" t="str">
        <x:v>DE_TH_2024</x:v>
      </x:c>
      <x:c r="D131" t="str">
        <x:v>CDU</x:v>
      </x:c>
      <x:c r="E131" s="24" t="n">
        <x:v>21</x:v>
      </x:c>
      <x:c r="F131" s="24" t="n">
        <x:v>23.6</x:v>
      </x:c>
      <x:c r="G131" s="24" t="n">
        <x:f>E131-F131</x:f>
        <x:v>-2.6000000000000014</x:v>
      </x:c>
      <x:c r="H131" s="24" t="n">
        <x:f>ABS(G131)</x:f>
        <x:v>2.6000000000000014</x:v>
      </x:c>
      <x:c r="I131" s="24" t="n">
        <x:f>G131^2</x:f>
        <x:v>6.760000000000008</x:v>
      </x:c>
    </x:row>
    <x:row r="132">
      <x:c r="A132" t="str">
        <x:v>C018</x:v>
      </x:c>
      <x:c r="B132" t="str">
        <x:v>P018</x:v>
      </x:c>
      <x:c r="C132" t="str">
        <x:v>DE_TH_2024</x:v>
      </x:c>
      <x:c r="D132" t="str">
        <x:v>SPD</x:v>
      </x:c>
      <x:c r="E132" s="24" t="n">
        <x:v>6</x:v>
      </x:c>
      <x:c r="F132" s="24" t="n">
        <x:v>6.1</x:v>
      </x:c>
      <x:c r="G132" s="24" t="n">
        <x:f>E132-F132</x:f>
        <x:v>-0.09999999999999964</x:v>
      </x:c>
      <x:c r="H132" s="24" t="n">
        <x:f>ABS(G132)</x:f>
        <x:v>0.09999999999999964</x:v>
      </x:c>
      <x:c r="I132" s="24" t="n">
        <x:f>G132^2</x:f>
        <x:v>0.009999999999999929</x:v>
      </x:c>
    </x:row>
    <x:row r="133">
      <x:c r="A133" t="str">
        <x:v>C018</x:v>
      </x:c>
      <x:c r="B133" t="str">
        <x:v>P018</x:v>
      </x:c>
      <x:c r="C133" t="str">
        <x:v>DE_TH_2024</x:v>
      </x:c>
      <x:c r="D133" t="str">
        <x:v>GRÜNE</x:v>
      </x:c>
      <x:c r="E133" s="24" t="n">
        <x:v>3</x:v>
      </x:c>
      <x:c r="F133" s="24" t="n">
        <x:v>3.2</x:v>
      </x:c>
      <x:c r="G133" s="24" t="n">
        <x:f>E133-F133</x:f>
        <x:v>-0.20000000000000018</x:v>
      </x:c>
      <x:c r="H133" s="24" t="n">
        <x:f>ABS(G133)</x:f>
        <x:v>0.20000000000000018</x:v>
      </x:c>
      <x:c r="I133" s="24" t="n">
        <x:f>G133^2</x:f>
        <x:v>0.04000000000000007</x:v>
      </x:c>
    </x:row>
    <x:row r="134">
      <x:c r="A134" t="str">
        <x:v>C018</x:v>
      </x:c>
      <x:c r="B134" t="str">
        <x:v>P018</x:v>
      </x:c>
      <x:c r="C134" t="str">
        <x:v>DE_TH_2024</x:v>
      </x:c>
      <x:c r="D134" t="str">
        <x:v>LINKE</x:v>
      </x:c>
      <x:c r="E134" s="24" t="n">
        <x:v>14</x:v>
      </x:c>
      <x:c r="F134" s="24" t="n">
        <x:v>13.1</x:v>
      </x:c>
      <x:c r="G134" s="24" t="n">
        <x:f>E134-F134</x:f>
        <x:v>0.9000000000000004</x:v>
      </x:c>
      <x:c r="H134" s="24" t="n">
        <x:f>ABS(G134)</x:f>
        <x:v>0.9000000000000004</x:v>
      </x:c>
      <x:c r="I134" s="24" t="n">
        <x:f>G134^2</x:f>
        <x:v>0.8100000000000006</x:v>
      </x:c>
    </x:row>
    <x:row r="135">
      <x:c r="A135" t="str">
        <x:v>C018</x:v>
      </x:c>
      <x:c r="B135" t="str">
        <x:v>P018</x:v>
      </x:c>
      <x:c r="C135" t="str">
        <x:v>DE_TH_2024</x:v>
      </x:c>
      <x:c r="D135" t="str">
        <x:v>AfD</x:v>
      </x:c>
      <x:c r="E135" s="24" t="n">
        <x:v>30</x:v>
      </x:c>
      <x:c r="F135" s="24" t="n">
        <x:v>32.8</x:v>
      </x:c>
      <x:c r="G135" s="24" t="n">
        <x:f>E135-F135</x:f>
        <x:v>-2.799999999999997</x:v>
      </x:c>
      <x:c r="H135" s="24" t="n">
        <x:f>ABS(G135)</x:f>
        <x:v>2.799999999999997</x:v>
      </x:c>
      <x:c r="I135" s="24" t="n">
        <x:f>G135^2</x:f>
        <x:v>7.839999999999984</x:v>
      </x:c>
    </x:row>
    <x:row r="136">
      <x:c r="A136" t="str">
        <x:v>C018</x:v>
      </x:c>
      <x:c r="B136" t="str">
        <x:v>P018</x:v>
      </x:c>
      <x:c r="C136" t="str">
        <x:v>DE_TH_2024</x:v>
      </x:c>
      <x:c r="D136" t="str">
        <x:v>BSW</x:v>
      </x:c>
      <x:c r="E136" s="24" t="n">
        <x:v>20</x:v>
      </x:c>
      <x:c r="F136" s="24" t="n">
        <x:v>18</x:v>
      </x:c>
      <x:c r="G136" s="24" t="n">
        <x:f>E136-F136</x:f>
        <x:v>2</x:v>
      </x:c>
      <x:c r="H136" s="24" t="n">
        <x:f>ABS(G136)</x:f>
        <x:v>2</x:v>
      </x:c>
      <x:c r="I136" s="24" t="n">
        <x:f>G136^2</x:f>
        <x:v>4</x:v>
      </x:c>
    </x:row>
    <x:row r="137">
      <x:c r="A137" t="str">
        <x:v>C018</x:v>
      </x:c>
      <x:c r="B137" t="str">
        <x:v>P018</x:v>
      </x:c>
      <x:c r="C137" t="str">
        <x:v>DE_TH_2024</x:v>
      </x:c>
      <x:c r="D137" t="str">
        <x:v>Sonstige</x:v>
      </x:c>
      <x:c r="E137" s="24" t="n">
        <x:v>6</x:v>
      </x:c>
      <x:c r="F137" s="24" t="n">
        <x:v>5.4</x:v>
      </x:c>
      <x:c r="G137" s="24" t="n">
        <x:f>E137-F137</x:f>
        <x:v>0.5999999999999996</x:v>
      </x:c>
      <x:c r="H137" s="24" t="n">
        <x:f>ABS(G137)</x:f>
        <x:v>0.5999999999999996</x:v>
      </x:c>
      <x:c r="I137" s="24" t="n">
        <x:f>G137^2</x:f>
        <x:v>0.3599999999999996</x:v>
      </x:c>
    </x:row>
    <x:row r="138">
      <x:c r="A138" t="str">
        <x:v>C019</x:v>
      </x:c>
      <x:c r="B138" t="str">
        <x:v>P019</x:v>
      </x:c>
      <x:c r="C138" t="str">
        <x:v>DE_SN_2024</x:v>
      </x:c>
      <x:c r="D138" t="str">
        <x:v>CDU</x:v>
      </x:c>
      <x:c r="E138" s="24" t="n">
        <x:v>33</x:v>
      </x:c>
      <x:c r="F138" s="24" t="n">
        <x:v>31.9</x:v>
      </x:c>
      <x:c r="G138" s="24" t="n">
        <x:f>E138-F138</x:f>
        <x:v>1.1000000000000014</x:v>
      </x:c>
      <x:c r="H138" s="24" t="n">
        <x:f>ABS(G138)</x:f>
        <x:v>1.1000000000000014</x:v>
      </x:c>
      <x:c r="I138" s="24" t="n">
        <x:f>G138^2</x:f>
        <x:v>1.210000000000003</x:v>
      </x:c>
    </x:row>
    <x:row r="139">
      <x:c r="A139" t="str">
        <x:v>C019</x:v>
      </x:c>
      <x:c r="B139" t="str">
        <x:v>P019</x:v>
      </x:c>
      <x:c r="C139" t="str">
        <x:v>DE_SN_2024</x:v>
      </x:c>
      <x:c r="D139" t="str">
        <x:v>SPD</x:v>
      </x:c>
      <x:c r="E139" s="24" t="n">
        <x:v>6</x:v>
      </x:c>
      <x:c r="F139" s="24" t="n">
        <x:v>7.3</x:v>
      </x:c>
      <x:c r="G139" s="24" t="n">
        <x:f>E139-F139</x:f>
        <x:v>-1.2999999999999998</x:v>
      </x:c>
      <x:c r="H139" s="24" t="n">
        <x:f>ABS(G139)</x:f>
        <x:v>1.2999999999999998</x:v>
      </x:c>
      <x:c r="I139" s="24" t="n">
        <x:f>G139^2</x:f>
        <x:v>1.6899999999999995</x:v>
      </x:c>
    </x:row>
    <x:row r="140">
      <x:c r="A140" t="str">
        <x:v>C019</x:v>
      </x:c>
      <x:c r="B140" t="str">
        <x:v>P019</x:v>
      </x:c>
      <x:c r="C140" t="str">
        <x:v>DE_SN_2024</x:v>
      </x:c>
      <x:c r="D140" t="str">
        <x:v>GRÜNE</x:v>
      </x:c>
      <x:c r="E140" s="24" t="n">
        <x:v>6</x:v>
      </x:c>
      <x:c r="F140" s="24" t="n">
        <x:v>5.1</x:v>
      </x:c>
      <x:c r="G140" s="24" t="n">
        <x:f>E140-F140</x:f>
        <x:v>0.9000000000000004</x:v>
      </x:c>
      <x:c r="H140" s="24" t="n">
        <x:f>ABS(G140)</x:f>
        <x:v>0.9000000000000004</x:v>
      </x:c>
      <x:c r="I140" s="24" t="n">
        <x:f>G140^2</x:f>
        <x:v>0.8100000000000006</x:v>
      </x:c>
    </x:row>
    <x:row r="141">
      <x:c r="A141" t="str">
        <x:v>C019</x:v>
      </x:c>
      <x:c r="B141" t="str">
        <x:v>P019</x:v>
      </x:c>
      <x:c r="C141" t="str">
        <x:v>DE_SN_2024</x:v>
      </x:c>
      <x:c r="D141" t="str">
        <x:v>LINKE</x:v>
      </x:c>
      <x:c r="E141" s="24" t="n">
        <x:v>4</x:v>
      </x:c>
      <x:c r="F141" s="24" t="n">
        <x:v>4.5</x:v>
      </x:c>
      <x:c r="G141" s="24" t="n">
        <x:f>E141-F141</x:f>
        <x:v>-0.5</x:v>
      </x:c>
      <x:c r="H141" s="24" t="n">
        <x:f>ABS(G141)</x:f>
        <x:v>0.5</x:v>
      </x:c>
      <x:c r="I141" s="24" t="n">
        <x:f>G141^2</x:f>
        <x:v>0.25</x:v>
      </x:c>
    </x:row>
    <x:row r="142">
      <x:c r="A142" t="str">
        <x:v>C019</x:v>
      </x:c>
      <x:c r="B142" t="str">
        <x:v>P019</x:v>
      </x:c>
      <x:c r="C142" t="str">
        <x:v>DE_SN_2024</x:v>
      </x:c>
      <x:c r="D142" t="str">
        <x:v>AfD</x:v>
      </x:c>
      <x:c r="E142" s="24" t="n">
        <x:v>30</x:v>
      </x:c>
      <x:c r="F142" s="24" t="n">
        <x:v>30.6</x:v>
      </x:c>
      <x:c r="G142" s="24" t="n">
        <x:f>E142-F142</x:f>
        <x:v>-0.6000000000000014</x:v>
      </x:c>
      <x:c r="H142" s="24" t="n">
        <x:f>ABS(G142)</x:f>
        <x:v>0.6000000000000014</x:v>
      </x:c>
      <x:c r="I142" s="24" t="n">
        <x:f>G142^2</x:f>
        <x:v>0.3600000000000017</x:v>
      </x:c>
    </x:row>
    <x:row r="143">
      <x:c r="A143" t="str">
        <x:v>C019</x:v>
      </x:c>
      <x:c r="B143" t="str">
        <x:v>P019</x:v>
      </x:c>
      <x:c r="C143" t="str">
        <x:v>DE_SN_2024</x:v>
      </x:c>
      <x:c r="D143" t="str">
        <x:v>BSW</x:v>
      </x:c>
      <x:c r="E143" s="24" t="n">
        <x:v>12</x:v>
      </x:c>
      <x:c r="F143" s="24" t="n">
        <x:v>12</x:v>
      </x:c>
      <x:c r="G143" s="24" t="n">
        <x:f>E143-F143</x:f>
        <x:v>0</x:v>
      </x:c>
      <x:c r="H143" s="24" t="n">
        <x:f>ABS(G143)</x:f>
        <x:v>0</x:v>
      </x:c>
      <x:c r="I143" s="24" t="n">
        <x:f>G143^2</x:f>
        <x:v>0</x:v>
      </x:c>
    </x:row>
    <x:row r="144">
      <x:c r="A144" t="str">
        <x:v>C019</x:v>
      </x:c>
      <x:c r="B144" t="str">
        <x:v>P019</x:v>
      </x:c>
      <x:c r="C144" t="str">
        <x:v>DE_SN_2024</x:v>
      </x:c>
      <x:c r="D144" t="str">
        <x:v>Sonstige</x:v>
      </x:c>
      <x:c r="E144" s="24" t="n">
        <x:v>9</x:v>
      </x:c>
      <x:c r="F144" s="24" t="n">
        <x:v>8.8</x:v>
      </x:c>
      <x:c r="G144" s="24" t="n">
        <x:f>E144-F144</x:f>
        <x:v>0.1999999999999993</x:v>
      </x:c>
      <x:c r="H144" s="24" t="n">
        <x:f>ABS(G144)</x:f>
        <x:v>0.1999999999999993</x:v>
      </x:c>
      <x:c r="I144" s="24" t="n">
        <x:f>G144^2</x:f>
        <x:v>0.039999999999999716</x:v>
      </x:c>
    </x:row>
    <x:row r="145">
      <x:c r="A145" t="str">
        <x:v>C020</x:v>
      </x:c>
      <x:c r="B145" t="str">
        <x:v>P020</x:v>
      </x:c>
      <x:c r="C145" t="str">
        <x:v>DE_SN_2024</x:v>
      </x:c>
      <x:c r="D145" t="str">
        <x:v>CDU</x:v>
      </x:c>
      <x:c r="E145" s="24" t="n">
        <x:v>31</x:v>
      </x:c>
      <x:c r="F145" s="24" t="n">
        <x:v>31.9</x:v>
      </x:c>
      <x:c r="G145" s="24" t="n">
        <x:f>E145-F145</x:f>
        <x:v>-0.8999999999999986</x:v>
      </x:c>
      <x:c r="H145" s="24" t="n">
        <x:f>ABS(G145)</x:f>
        <x:v>0.8999999999999986</x:v>
      </x:c>
      <x:c r="I145" s="24" t="n">
        <x:f>G145^2</x:f>
        <x:v>0.8099999999999974</x:v>
      </x:c>
    </x:row>
    <x:row r="146">
      <x:c r="A146" t="str">
        <x:v>C020</x:v>
      </x:c>
      <x:c r="B146" t="str">
        <x:v>P020</x:v>
      </x:c>
      <x:c r="C146" t="str">
        <x:v>DE_SN_2024</x:v>
      </x:c>
      <x:c r="D146" t="str">
        <x:v>SPD</x:v>
      </x:c>
      <x:c r="E146" s="24" t="n">
        <x:v>6</x:v>
      </x:c>
      <x:c r="F146" s="24" t="n">
        <x:v>7.3</x:v>
      </x:c>
      <x:c r="G146" s="24" t="n">
        <x:f>E146-F146</x:f>
        <x:v>-1.2999999999999998</x:v>
      </x:c>
      <x:c r="H146" s="24" t="n">
        <x:f>ABS(G146)</x:f>
        <x:v>1.2999999999999998</x:v>
      </x:c>
      <x:c r="I146" s="24" t="n">
        <x:f>G146^2</x:f>
        <x:v>1.6899999999999995</x:v>
      </x:c>
    </x:row>
    <x:row r="147">
      <x:c r="A147" t="str">
        <x:v>C020</x:v>
      </x:c>
      <x:c r="B147" t="str">
        <x:v>P020</x:v>
      </x:c>
      <x:c r="C147" t="str">
        <x:v>DE_SN_2024</x:v>
      </x:c>
      <x:c r="D147" t="str">
        <x:v>GRÜNE</x:v>
      </x:c>
      <x:c r="E147" s="24" t="n">
        <x:v>6</x:v>
      </x:c>
      <x:c r="F147" s="24" t="n">
        <x:v>5.1</x:v>
      </x:c>
      <x:c r="G147" s="24" t="n">
        <x:f>E147-F147</x:f>
        <x:v>0.9000000000000004</x:v>
      </x:c>
      <x:c r="H147" s="24" t="n">
        <x:f>ABS(G147)</x:f>
        <x:v>0.9000000000000004</x:v>
      </x:c>
      <x:c r="I147" s="24" t="n">
        <x:f>G147^2</x:f>
        <x:v>0.8100000000000006</x:v>
      </x:c>
    </x:row>
    <x:row r="148">
      <x:c r="A148" t="str">
        <x:v>C020</x:v>
      </x:c>
      <x:c r="B148" t="str">
        <x:v>P020</x:v>
      </x:c>
      <x:c r="C148" t="str">
        <x:v>DE_SN_2024</x:v>
      </x:c>
      <x:c r="D148" t="str">
        <x:v>LINKE</x:v>
      </x:c>
      <x:c r="E148" s="24" t="n">
        <x:v>4</x:v>
      </x:c>
      <x:c r="F148" s="24" t="n">
        <x:v>4.5</x:v>
      </x:c>
      <x:c r="G148" s="24" t="n">
        <x:f>E148-F148</x:f>
        <x:v>-0.5</x:v>
      </x:c>
      <x:c r="H148" s="24" t="n">
        <x:f>ABS(G148)</x:f>
        <x:v>0.5</x:v>
      </x:c>
      <x:c r="I148" s="24" t="n">
        <x:f>G148^2</x:f>
        <x:v>0.25</x:v>
      </x:c>
    </x:row>
    <x:row r="149">
      <x:c r="A149" t="str">
        <x:v>C020</x:v>
      </x:c>
      <x:c r="B149" t="str">
        <x:v>P020</x:v>
      </x:c>
      <x:c r="C149" t="str">
        <x:v>DE_SN_2024</x:v>
      </x:c>
      <x:c r="D149" t="str">
        <x:v>AfD</x:v>
      </x:c>
      <x:c r="E149" s="24" t="n">
        <x:v>31</x:v>
      </x:c>
      <x:c r="F149" s="24" t="n">
        <x:v>30.6</x:v>
      </x:c>
      <x:c r="G149" s="24" t="n">
        <x:f>E149-F149</x:f>
        <x:v>0.3999999999999986</x:v>
      </x:c>
      <x:c r="H149" s="24" t="n">
        <x:f>ABS(G149)</x:f>
        <x:v>0.3999999999999986</x:v>
      </x:c>
      <x:c r="I149" s="24" t="n">
        <x:f>G149^2</x:f>
        <x:v>0.15999999999999887</x:v>
      </x:c>
    </x:row>
    <x:row r="150">
      <x:c r="A150" t="str">
        <x:v>C020</x:v>
      </x:c>
      <x:c r="B150" t="str">
        <x:v>P020</x:v>
      </x:c>
      <x:c r="C150" t="str">
        <x:v>DE_SN_2024</x:v>
      </x:c>
      <x:c r="D150" t="str">
        <x:v>BSW</x:v>
      </x:c>
      <x:c r="E150" s="24" t="n">
        <x:v>12</x:v>
      </x:c>
      <x:c r="F150" s="24" t="n">
        <x:v>12</x:v>
      </x:c>
      <x:c r="G150" s="24" t="n">
        <x:f>E150-F150</x:f>
        <x:v>0</x:v>
      </x:c>
      <x:c r="H150" s="24" t="n">
        <x:f>ABS(G150)</x:f>
        <x:v>0</x:v>
      </x:c>
      <x:c r="I150" s="24" t="n">
        <x:f>G150^2</x:f>
        <x:v>0</x:v>
      </x:c>
    </x:row>
    <x:row r="151">
      <x:c r="A151" t="str">
        <x:v>C020</x:v>
      </x:c>
      <x:c r="B151" t="str">
        <x:v>P020</x:v>
      </x:c>
      <x:c r="C151" t="str">
        <x:v>DE_SN_2024</x:v>
      </x:c>
      <x:c r="D151" t="str">
        <x:v>Sonstige</x:v>
      </x:c>
      <x:c r="E151" s="24" t="n">
        <x:v>10</x:v>
      </x:c>
      <x:c r="F151" s="24" t="n">
        <x:v>8.8</x:v>
      </x:c>
      <x:c r="G151" s="24" t="n">
        <x:f>E151-F151</x:f>
        <x:v>1.1999999999999993</x:v>
      </x:c>
      <x:c r="H151" s="24" t="n">
        <x:f>ABS(G151)</x:f>
        <x:v>1.1999999999999993</x:v>
      </x:c>
      <x:c r="I151" s="24" t="n">
        <x:f>G151^2</x:f>
        <x:v>1.4399999999999984</x:v>
      </x:c>
    </x:row>
    <x:row r="152">
      <x:c r="A152" t="str">
        <x:v>C021</x:v>
      </x:c>
      <x:c r="B152" t="str">
        <x:v>P021</x:v>
      </x:c>
      <x:c r="C152" t="str">
        <x:v>DE_SN_2024</x:v>
      </x:c>
      <x:c r="D152" t="str">
        <x:v>CDU</x:v>
      </x:c>
      <x:c r="E152" s="24" t="n">
        <x:v>33</x:v>
      </x:c>
      <x:c r="F152" s="24" t="n">
        <x:v>31.9</x:v>
      </x:c>
      <x:c r="G152" s="24" t="n">
        <x:f>E152-F152</x:f>
        <x:v>1.1000000000000014</x:v>
      </x:c>
      <x:c r="H152" s="24" t="n">
        <x:f>ABS(G152)</x:f>
        <x:v>1.1000000000000014</x:v>
      </x:c>
      <x:c r="I152" s="24" t="n">
        <x:f>G152^2</x:f>
        <x:v>1.210000000000003</x:v>
      </x:c>
    </x:row>
    <x:row r="153">
      <x:c r="A153" t="str">
        <x:v>C021</x:v>
      </x:c>
      <x:c r="B153" t="str">
        <x:v>P021</x:v>
      </x:c>
      <x:c r="C153" t="str">
        <x:v>DE_SN_2024</x:v>
      </x:c>
      <x:c r="D153" t="str">
        <x:v>SPD</x:v>
      </x:c>
      <x:c r="E153" s="24" t="n">
        <x:v>7</x:v>
      </x:c>
      <x:c r="F153" s="24" t="n">
        <x:v>7.3</x:v>
      </x:c>
      <x:c r="G153" s="24" t="n">
        <x:f>E153-F153</x:f>
        <x:v>-0.2999999999999998</x:v>
      </x:c>
      <x:c r="H153" s="24" t="n">
        <x:f>ABS(G153)</x:f>
        <x:v>0.2999999999999998</x:v>
      </x:c>
      <x:c r="I153" s="24" t="n">
        <x:f>G153^2</x:f>
        <x:v>0.0899999999999999</x:v>
      </x:c>
    </x:row>
    <x:row r="154">
      <x:c r="A154" t="str">
        <x:v>C021</x:v>
      </x:c>
      <x:c r="B154" t="str">
        <x:v>P021</x:v>
      </x:c>
      <x:c r="C154" t="str">
        <x:v>DE_SN_2024</x:v>
      </x:c>
      <x:c r="D154" t="str">
        <x:v>GRÜNE</x:v>
      </x:c>
      <x:c r="E154" s="24" t="n">
        <x:v>6</x:v>
      </x:c>
      <x:c r="F154" s="24" t="n">
        <x:v>5.1</x:v>
      </x:c>
      <x:c r="G154" s="24" t="n">
        <x:f>E154-F154</x:f>
        <x:v>0.9000000000000004</x:v>
      </x:c>
      <x:c r="H154" s="24" t="n">
        <x:f>ABS(G154)</x:f>
        <x:v>0.9000000000000004</x:v>
      </x:c>
      <x:c r="I154" s="24" t="n">
        <x:f>G154^2</x:f>
        <x:v>0.8100000000000006</x:v>
      </x:c>
    </x:row>
    <x:row r="155">
      <x:c r="A155" t="str">
        <x:v>C021</x:v>
      </x:c>
      <x:c r="B155" t="str">
        <x:v>P021</x:v>
      </x:c>
      <x:c r="C155" t="str">
        <x:v>DE_SN_2024</x:v>
      </x:c>
      <x:c r="D155" t="str">
        <x:v>LINKE</x:v>
      </x:c>
      <x:c r="E155" s="24" t="n">
        <x:v>3</x:v>
      </x:c>
      <x:c r="F155" s="24" t="n">
        <x:v>4.5</x:v>
      </x:c>
      <x:c r="G155" s="24" t="n">
        <x:f>E155-F155</x:f>
        <x:v>-1.5</x:v>
      </x:c>
      <x:c r="H155" s="24" t="n">
        <x:f>ABS(G155)</x:f>
        <x:v>1.5</x:v>
      </x:c>
      <x:c r="I155" s="24" t="n">
        <x:f>G155^2</x:f>
        <x:v>2.25</x:v>
      </x:c>
    </x:row>
    <x:row r="156">
      <x:c r="A156" t="str">
        <x:v>C021</x:v>
      </x:c>
      <x:c r="B156" t="str">
        <x:v>P021</x:v>
      </x:c>
      <x:c r="C156" t="str">
        <x:v>DE_SN_2024</x:v>
      </x:c>
      <x:c r="D156" t="str">
        <x:v>AfD</x:v>
      </x:c>
      <x:c r="E156" s="24" t="n">
        <x:v>31</x:v>
      </x:c>
      <x:c r="F156" s="24" t="n">
        <x:v>30.6</x:v>
      </x:c>
      <x:c r="G156" s="24" t="n">
        <x:f>E156-F156</x:f>
        <x:v>0.3999999999999986</x:v>
      </x:c>
      <x:c r="H156" s="24" t="n">
        <x:f>ABS(G156)</x:f>
        <x:v>0.3999999999999986</x:v>
      </x:c>
      <x:c r="I156" s="24" t="n">
        <x:f>G156^2</x:f>
        <x:v>0.15999999999999887</x:v>
      </x:c>
    </x:row>
    <x:row r="157">
      <x:c r="A157" t="str">
        <x:v>C021</x:v>
      </x:c>
      <x:c r="B157" t="str">
        <x:v>P021</x:v>
      </x:c>
      <x:c r="C157" t="str">
        <x:v>DE_SN_2024</x:v>
      </x:c>
      <x:c r="D157" t="str">
        <x:v>BSW</x:v>
      </x:c>
      <x:c r="E157" s="24" t="n">
        <x:v>12</x:v>
      </x:c>
      <x:c r="F157" s="24" t="n">
        <x:v>12</x:v>
      </x:c>
      <x:c r="G157" s="24" t="n">
        <x:f>E157-F157</x:f>
        <x:v>0</x:v>
      </x:c>
      <x:c r="H157" s="24" t="n">
        <x:f>ABS(G157)</x:f>
        <x:v>0</x:v>
      </x:c>
      <x:c r="I157" s="24" t="n">
        <x:f>G157^2</x:f>
        <x:v>0</x:v>
      </x:c>
    </x:row>
    <x:row r="158">
      <x:c r="A158" t="str">
        <x:v>C021</x:v>
      </x:c>
      <x:c r="B158" t="str">
        <x:v>P021</x:v>
      </x:c>
      <x:c r="C158" t="str">
        <x:v>DE_SN_2024</x:v>
      </x:c>
      <x:c r="D158" t="str">
        <x:v>Sonstige</x:v>
      </x:c>
      <x:c r="E158" s="24" t="n">
        <x:v>8</x:v>
      </x:c>
      <x:c r="F158" s="24" t="n">
        <x:v>8.8</x:v>
      </x:c>
      <x:c r="G158" s="24" t="n">
        <x:f>E158-F158</x:f>
        <x:v>-0.8000000000000007</x:v>
      </x:c>
      <x:c r="H158" s="24" t="n">
        <x:f>ABS(G158)</x:f>
        <x:v>0.8000000000000007</x:v>
      </x:c>
      <x:c r="I158" s="24" t="n">
        <x:f>G158^2</x:f>
        <x:v>0.6400000000000011</x:v>
      </x:c>
    </x:row>
    <x:row r="159">
      <x:c r="A159" t="str">
        <x:v>C022</x:v>
      </x:c>
      <x:c r="B159" t="str">
        <x:v>P022</x:v>
      </x:c>
      <x:c r="C159" t="str">
        <x:v>DE_SN_2024</x:v>
      </x:c>
      <x:c r="D159" t="str">
        <x:v>CDU</x:v>
      </x:c>
      <x:c r="E159" s="24" t="n">
        <x:v>31</x:v>
      </x:c>
      <x:c r="F159" s="24" t="n">
        <x:v>31.9</x:v>
      </x:c>
      <x:c r="G159" s="24" t="n">
        <x:f>E159-F159</x:f>
        <x:v>-0.8999999999999986</x:v>
      </x:c>
      <x:c r="H159" s="24" t="n">
        <x:f>ABS(G159)</x:f>
        <x:v>0.8999999999999986</x:v>
      </x:c>
      <x:c r="I159" s="24" t="n">
        <x:f>G159^2</x:f>
        <x:v>0.8099999999999974</x:v>
      </x:c>
    </x:row>
    <x:row r="160">
      <x:c r="A160" t="str">
        <x:v>C022</x:v>
      </x:c>
      <x:c r="B160" t="str">
        <x:v>P022</x:v>
      </x:c>
      <x:c r="C160" t="str">
        <x:v>DE_SN_2024</x:v>
      </x:c>
      <x:c r="D160" t="str">
        <x:v>SPD</x:v>
      </x:c>
      <x:c r="E160" s="24" t="n">
        <x:v>7</x:v>
      </x:c>
      <x:c r="F160" s="24" t="n">
        <x:v>7.3</x:v>
      </x:c>
      <x:c r="G160" s="24" t="n">
        <x:f>E160-F160</x:f>
        <x:v>-0.2999999999999998</x:v>
      </x:c>
      <x:c r="H160" s="24" t="n">
        <x:f>ABS(G160)</x:f>
        <x:v>0.2999999999999998</x:v>
      </x:c>
      <x:c r="I160" s="24" t="n">
        <x:f>G160^2</x:f>
        <x:v>0.0899999999999999</x:v>
      </x:c>
    </x:row>
    <x:row r="161">
      <x:c r="A161" t="str">
        <x:v>C022</x:v>
      </x:c>
      <x:c r="B161" t="str">
        <x:v>P022</x:v>
      </x:c>
      <x:c r="C161" t="str">
        <x:v>DE_SN_2024</x:v>
      </x:c>
      <x:c r="D161" t="str">
        <x:v>GRÜNE</x:v>
      </x:c>
      <x:c r="E161" s="24" t="n">
        <x:v>6</x:v>
      </x:c>
      <x:c r="F161" s="24" t="n">
        <x:v>5.1</x:v>
      </x:c>
      <x:c r="G161" s="24" t="n">
        <x:f>E161-F161</x:f>
        <x:v>0.9000000000000004</x:v>
      </x:c>
      <x:c r="H161" s="24" t="n">
        <x:f>ABS(G161)</x:f>
        <x:v>0.9000000000000004</x:v>
      </x:c>
      <x:c r="I161" s="24" t="n">
        <x:f>G161^2</x:f>
        <x:v>0.8100000000000006</x:v>
      </x:c>
    </x:row>
    <x:row r="162">
      <x:c r="A162" t="str">
        <x:v>C022</x:v>
      </x:c>
      <x:c r="B162" t="str">
        <x:v>P022</x:v>
      </x:c>
      <x:c r="C162" t="str">
        <x:v>DE_SN_2024</x:v>
      </x:c>
      <x:c r="D162" t="str">
        <x:v>LINKE</x:v>
      </x:c>
      <x:c r="E162" s="24" t="n">
        <x:v>4</x:v>
      </x:c>
      <x:c r="F162" s="24" t="n">
        <x:v>4.5</x:v>
      </x:c>
      <x:c r="G162" s="24" t="n">
        <x:f>E162-F162</x:f>
        <x:v>-0.5</x:v>
      </x:c>
      <x:c r="H162" s="24" t="n">
        <x:f>ABS(G162)</x:f>
        <x:v>0.5</x:v>
      </x:c>
      <x:c r="I162" s="24" t="n">
        <x:f>G162^2</x:f>
        <x:v>0.25</x:v>
      </x:c>
    </x:row>
    <x:row r="163">
      <x:c r="A163" t="str">
        <x:v>C022</x:v>
      </x:c>
      <x:c r="B163" t="str">
        <x:v>P022</x:v>
      </x:c>
      <x:c r="C163" t="str">
        <x:v>DE_SN_2024</x:v>
      </x:c>
      <x:c r="D163" t="str">
        <x:v>AfD</x:v>
      </x:c>
      <x:c r="E163" s="24" t="n">
        <x:v>30</x:v>
      </x:c>
      <x:c r="F163" s="24" t="n">
        <x:v>30.6</x:v>
      </x:c>
      <x:c r="G163" s="24" t="n">
        <x:f>E163-F163</x:f>
        <x:v>-0.6000000000000014</x:v>
      </x:c>
      <x:c r="H163" s="24" t="n">
        <x:f>ABS(G163)</x:f>
        <x:v>0.6000000000000014</x:v>
      </x:c>
      <x:c r="I163" s="24" t="n">
        <x:f>G163^2</x:f>
        <x:v>0.3600000000000017</x:v>
      </x:c>
    </x:row>
    <x:row r="164">
      <x:c r="A164" t="str">
        <x:v>C022</x:v>
      </x:c>
      <x:c r="B164" t="str">
        <x:v>P022</x:v>
      </x:c>
      <x:c r="C164" t="str">
        <x:v>DE_SN_2024</x:v>
      </x:c>
      <x:c r="D164" t="str">
        <x:v>BSW</x:v>
      </x:c>
      <x:c r="E164" s="24" t="n">
        <x:v>14</x:v>
      </x:c>
      <x:c r="F164" s="24" t="n">
        <x:v>12</x:v>
      </x:c>
      <x:c r="G164" s="24" t="n">
        <x:f>E164-F164</x:f>
        <x:v>2</x:v>
      </x:c>
      <x:c r="H164" s="24" t="n">
        <x:f>ABS(G164)</x:f>
        <x:v>2</x:v>
      </x:c>
      <x:c r="I164" s="24" t="n">
        <x:f>G164^2</x:f>
        <x:v>4</x:v>
      </x:c>
    </x:row>
    <x:row r="165">
      <x:c r="A165" t="str">
        <x:v>C022</x:v>
      </x:c>
      <x:c r="B165" t="str">
        <x:v>P022</x:v>
      </x:c>
      <x:c r="C165" t="str">
        <x:v>DE_SN_2024</x:v>
      </x:c>
      <x:c r="D165" t="str">
        <x:v>Sonstige</x:v>
      </x:c>
      <x:c r="E165" s="24" t="n">
        <x:v>8</x:v>
      </x:c>
      <x:c r="F165" s="24" t="n">
        <x:v>8.8</x:v>
      </x:c>
      <x:c r="G165" s="24" t="n">
        <x:f>E165-F165</x:f>
        <x:v>-0.8000000000000007</x:v>
      </x:c>
      <x:c r="H165" s="24" t="n">
        <x:f>ABS(G165)</x:f>
        <x:v>0.8000000000000007</x:v>
      </x:c>
      <x:c r="I165" s="24" t="n">
        <x:f>G165^2</x:f>
        <x:v>0.6400000000000011</x:v>
      </x:c>
    </x:row>
    <x:row r="166">
      <x:c r="A166" t="str">
        <x:v>C023</x:v>
      </x:c>
      <x:c r="B166" t="str">
        <x:v>P023</x:v>
      </x:c>
      <x:c r="C166" t="str">
        <x:v>DE_SN_2024</x:v>
      </x:c>
      <x:c r="D166" t="str">
        <x:v>CDU</x:v>
      </x:c>
      <x:c r="E166" s="24" t="n">
        <x:v>30</x:v>
      </x:c>
      <x:c r="F166" s="24" t="n">
        <x:v>31.9</x:v>
      </x:c>
      <x:c r="G166" s="24" t="n">
        <x:f>E166-F166</x:f>
        <x:v>-1.8999999999999986</x:v>
      </x:c>
      <x:c r="H166" s="24" t="n">
        <x:f>ABS(G166)</x:f>
        <x:v>1.8999999999999986</x:v>
      </x:c>
      <x:c r="I166" s="24" t="n">
        <x:f>G166^2</x:f>
        <x:v>3.6099999999999945</x:v>
      </x:c>
    </x:row>
    <x:row r="167">
      <x:c r="A167" t="str">
        <x:v>C023</x:v>
      </x:c>
      <x:c r="B167" t="str">
        <x:v>P023</x:v>
      </x:c>
      <x:c r="C167" t="str">
        <x:v>DE_SN_2024</x:v>
      </x:c>
      <x:c r="D167" t="str">
        <x:v>SPD</x:v>
      </x:c>
      <x:c r="E167" s="24" t="n">
        <x:v>6</x:v>
      </x:c>
      <x:c r="F167" s="24" t="n">
        <x:v>7.3</x:v>
      </x:c>
      <x:c r="G167" s="24" t="n">
        <x:f>E167-F167</x:f>
        <x:v>-1.2999999999999998</x:v>
      </x:c>
      <x:c r="H167" s="24" t="n">
        <x:f>ABS(G167)</x:f>
        <x:v>1.2999999999999998</x:v>
      </x:c>
      <x:c r="I167" s="24" t="n">
        <x:f>G167^2</x:f>
        <x:v>1.6899999999999995</x:v>
      </x:c>
    </x:row>
    <x:row r="168">
      <x:c r="A168" t="str">
        <x:v>C023</x:v>
      </x:c>
      <x:c r="B168" t="str">
        <x:v>P023</x:v>
      </x:c>
      <x:c r="C168" t="str">
        <x:v>DE_SN_2024</x:v>
      </x:c>
      <x:c r="D168" t="str">
        <x:v>GRÜNE</x:v>
      </x:c>
      <x:c r="E168" s="24" t="n">
        <x:v>5</x:v>
      </x:c>
      <x:c r="F168" s="24" t="n">
        <x:v>5.1</x:v>
      </x:c>
      <x:c r="G168" s="24" t="n">
        <x:f>E168-F168</x:f>
        <x:v>-0.09999999999999964</x:v>
      </x:c>
      <x:c r="H168" s="24" t="n">
        <x:f>ABS(G168)</x:f>
        <x:v>0.09999999999999964</x:v>
      </x:c>
      <x:c r="I168" s="24" t="n">
        <x:f>G168^2</x:f>
        <x:v>0.009999999999999929</x:v>
      </x:c>
    </x:row>
    <x:row r="169">
      <x:c r="A169" t="str">
        <x:v>C023</x:v>
      </x:c>
      <x:c r="B169" t="str">
        <x:v>P023</x:v>
      </x:c>
      <x:c r="C169" t="str">
        <x:v>DE_SN_2024</x:v>
      </x:c>
      <x:c r="D169" t="str">
        <x:v>LINKE</x:v>
      </x:c>
      <x:c r="E169" s="24" t="n">
        <x:v>4</x:v>
      </x:c>
      <x:c r="F169" s="24" t="n">
        <x:v>4.5</x:v>
      </x:c>
      <x:c r="G169" s="24" t="n">
        <x:f>E169-F169</x:f>
        <x:v>-0.5</x:v>
      </x:c>
      <x:c r="H169" s="24" t="n">
        <x:f>ABS(G169)</x:f>
        <x:v>0.5</x:v>
      </x:c>
      <x:c r="I169" s="24" t="n">
        <x:f>G169^2</x:f>
        <x:v>0.25</x:v>
      </x:c>
    </x:row>
    <x:row r="170">
      <x:c r="A170" t="str">
        <x:v>C023</x:v>
      </x:c>
      <x:c r="B170" t="str">
        <x:v>P023</x:v>
      </x:c>
      <x:c r="C170" t="str">
        <x:v>DE_SN_2024</x:v>
      </x:c>
      <x:c r="D170" t="str">
        <x:v>AfD</x:v>
      </x:c>
      <x:c r="E170" s="24" t="n">
        <x:v>32</x:v>
      </x:c>
      <x:c r="F170" s="24" t="n">
        <x:v>30.6</x:v>
      </x:c>
      <x:c r="G170" s="24" t="n">
        <x:f>E170-F170</x:f>
        <x:v>1.3999999999999986</x:v>
      </x:c>
      <x:c r="H170" s="24" t="n">
        <x:f>ABS(G170)</x:f>
        <x:v>1.3999999999999986</x:v>
      </x:c>
      <x:c r="I170" s="24" t="n">
        <x:f>G170^2</x:f>
        <x:v>1.959999999999996</x:v>
      </x:c>
    </x:row>
    <x:row r="171">
      <x:c r="A171" t="str">
        <x:v>C023</x:v>
      </x:c>
      <x:c r="B171" t="str">
        <x:v>P023</x:v>
      </x:c>
      <x:c r="C171" t="str">
        <x:v>DE_SN_2024</x:v>
      </x:c>
      <x:c r="D171" t="str">
        <x:v>BSW</x:v>
      </x:c>
      <x:c r="E171" s="24" t="n">
        <x:v>15</x:v>
      </x:c>
      <x:c r="F171" s="24" t="n">
        <x:v>12</x:v>
      </x:c>
      <x:c r="G171" s="24" t="n">
        <x:f>E171-F171</x:f>
        <x:v>3</x:v>
      </x:c>
      <x:c r="H171" s="24" t="n">
        <x:f>ABS(G171)</x:f>
        <x:v>3</x:v>
      </x:c>
      <x:c r="I171" s="24" t="n">
        <x:f>G171^2</x:f>
        <x:v>9</x:v>
      </x:c>
    </x:row>
    <x:row r="172">
      <x:c r="A172" t="str">
        <x:v>C023</x:v>
      </x:c>
      <x:c r="B172" t="str">
        <x:v>P023</x:v>
      </x:c>
      <x:c r="C172" t="str">
        <x:v>DE_SN_2024</x:v>
      </x:c>
      <x:c r="D172" t="str">
        <x:v>Sonstige</x:v>
      </x:c>
      <x:c r="E172" s="24" t="n">
        <x:v>8</x:v>
      </x:c>
      <x:c r="F172" s="24" t="n">
        <x:v>8.8</x:v>
      </x:c>
      <x:c r="G172" s="24" t="n">
        <x:f>E172-F172</x:f>
        <x:v>-0.8000000000000007</x:v>
      </x:c>
      <x:c r="H172" s="24" t="n">
        <x:f>ABS(G172)</x:f>
        <x:v>0.8000000000000007</x:v>
      </x:c>
      <x:c r="I172" s="24" t="n">
        <x:f>G172^2</x:f>
        <x:v>0.6400000000000011</x:v>
      </x:c>
    </x:row>
    <x:row r="173">
      <x:c r="A173" t="str">
        <x:v>C024</x:v>
      </x:c>
      <x:c r="B173" t="str">
        <x:v>P024</x:v>
      </x:c>
      <x:c r="C173" t="str">
        <x:v>DE_EP_2024</x:v>
      </x:c>
      <x:c r="D173" t="str">
        <x:v>CDU/CSU</x:v>
      </x:c>
      <x:c r="E173" s="24" t="n">
        <x:v>29</x:v>
      </x:c>
      <x:c r="F173" s="24" t="n">
        <x:v>30</x:v>
      </x:c>
      <x:c r="G173" s="24" t="n">
        <x:f>E173-F173</x:f>
        <x:v>-1</x:v>
      </x:c>
      <x:c r="H173" s="24" t="n">
        <x:f>ABS(G173)</x:f>
        <x:v>1</x:v>
      </x:c>
      <x:c r="I173" s="24" t="n">
        <x:f>G173^2</x:f>
        <x:v>1</x:v>
      </x:c>
    </x:row>
    <x:row r="174">
      <x:c r="A174" t="str">
        <x:v>C024</x:v>
      </x:c>
      <x:c r="B174" t="str">
        <x:v>P024</x:v>
      </x:c>
      <x:c r="C174" t="str">
        <x:v>DE_EP_2024</x:v>
      </x:c>
      <x:c r="D174" t="str">
        <x:v>SPD</x:v>
      </x:c>
      <x:c r="E174" s="24" t="n">
        <x:v>14</x:v>
      </x:c>
      <x:c r="F174" s="24" t="n">
        <x:v>13.9</x:v>
      </x:c>
      <x:c r="G174" s="24" t="n">
        <x:f>E174-F174</x:f>
        <x:v>0.09999999999999964</x:v>
      </x:c>
      <x:c r="H174" s="24" t="n">
        <x:f>ABS(G174)</x:f>
        <x:v>0.09999999999999964</x:v>
      </x:c>
      <x:c r="I174" s="24" t="n">
        <x:f>G174^2</x:f>
        <x:v>0.009999999999999929</x:v>
      </x:c>
    </x:row>
    <x:row r="175">
      <x:c r="A175" t="str">
        <x:v>C024</x:v>
      </x:c>
      <x:c r="B175" t="str">
        <x:v>P024</x:v>
      </x:c>
      <x:c r="C175" t="str">
        <x:v>DE_EP_2024</x:v>
      </x:c>
      <x:c r="D175" t="str">
        <x:v>GRÜNE</x:v>
      </x:c>
      <x:c r="E175" s="24" t="n">
        <x:v>13</x:v>
      </x:c>
      <x:c r="F175" s="24" t="n">
        <x:v>11.9</x:v>
      </x:c>
      <x:c r="G175" s="24" t="n">
        <x:f>E175-F175</x:f>
        <x:v>1.0999999999999996</x:v>
      </x:c>
      <x:c r="H175" s="24" t="n">
        <x:f>ABS(G175)</x:f>
        <x:v>1.0999999999999996</x:v>
      </x:c>
      <x:c r="I175" s="24" t="n">
        <x:f>G175^2</x:f>
        <x:v>1.2099999999999993</x:v>
      </x:c>
    </x:row>
    <x:row r="176">
      <x:c r="A176" t="str">
        <x:v>C024</x:v>
      </x:c>
      <x:c r="B176" t="str">
        <x:v>P024</x:v>
      </x:c>
      <x:c r="C176" t="str">
        <x:v>DE_EP_2024</x:v>
      </x:c>
      <x:c r="D176" t="str">
        <x:v>FDP</x:v>
      </x:c>
      <x:c r="E176" s="24" t="n">
        <x:v>4</x:v>
      </x:c>
      <x:c r="F176" s="24" t="n">
        <x:v>5.2</x:v>
      </x:c>
      <x:c r="G176" s="24" t="n">
        <x:f>E176-F176</x:f>
        <x:v>-1.2000000000000002</x:v>
      </x:c>
      <x:c r="H176" s="24" t="n">
        <x:f>ABS(G176)</x:f>
        <x:v>1.2000000000000002</x:v>
      </x:c>
      <x:c r="I176" s="24" t="n">
        <x:f>G176^2</x:f>
        <x:v>1.4400000000000004</x:v>
      </x:c>
    </x:row>
    <x:row r="177">
      <x:c r="A177" t="str">
        <x:v>C024</x:v>
      </x:c>
      <x:c r="B177" t="str">
        <x:v>P024</x:v>
      </x:c>
      <x:c r="C177" t="str">
        <x:v>DE_EP_2024</x:v>
      </x:c>
      <x:c r="D177" t="str">
        <x:v>LINKE</x:v>
      </x:c>
      <x:c r="E177" s="24" t="n">
        <x:v>3</x:v>
      </x:c>
      <x:c r="F177" s="24" t="n">
        <x:v>2.7</x:v>
      </x:c>
      <x:c r="G177" s="24" t="n">
        <x:f>E177-F177</x:f>
        <x:v>0.2999999999999998</x:v>
      </x:c>
      <x:c r="H177" s="24" t="n">
        <x:f>ABS(G177)</x:f>
        <x:v>0.2999999999999998</x:v>
      </x:c>
      <x:c r="I177" s="24" t="n">
        <x:f>G177^2</x:f>
        <x:v>0.0899999999999999</x:v>
      </x:c>
    </x:row>
    <x:row r="178">
      <x:c r="A178" t="str">
        <x:v>C024</x:v>
      </x:c>
      <x:c r="B178" t="str">
        <x:v>P024</x:v>
      </x:c>
      <x:c r="C178" t="str">
        <x:v>DE_EP_2024</x:v>
      </x:c>
      <x:c r="D178" t="str">
        <x:v>AfD</x:v>
      </x:c>
      <x:c r="E178" s="24" t="n">
        <x:v>16</x:v>
      </x:c>
      <x:c r="F178" s="24" t="n">
        <x:v>15.9</x:v>
      </x:c>
      <x:c r="G178" s="24" t="n">
        <x:f>E178-F178</x:f>
        <x:v>0.09999999999999964</x:v>
      </x:c>
      <x:c r="H178" s="24" t="n">
        <x:f>ABS(G178)</x:f>
        <x:v>0.09999999999999964</x:v>
      </x:c>
      <x:c r="I178" s="24" t="n">
        <x:f>G178^2</x:f>
        <x:v>0.009999999999999929</x:v>
      </x:c>
    </x:row>
    <x:row r="179">
      <x:c r="A179" t="str">
        <x:v>C024</x:v>
      </x:c>
      <x:c r="B179" t="str">
        <x:v>P024</x:v>
      </x:c>
      <x:c r="C179" t="str">
        <x:v>DE_EP_2024</x:v>
      </x:c>
      <x:c r="D179" t="str">
        <x:v>BSW</x:v>
      </x:c>
      <x:c r="E179" s="24" t="n">
        <x:v>7</x:v>
      </x:c>
      <x:c r="F179" s="24" t="n">
        <x:v>6.2</x:v>
      </x:c>
      <x:c r="G179" s="24" t="n">
        <x:f>E179-F179</x:f>
        <x:v>0.7999999999999998</x:v>
      </x:c>
      <x:c r="H179" s="24" t="n">
        <x:f>ABS(G179)</x:f>
        <x:v>0.7999999999999998</x:v>
      </x:c>
      <x:c r="I179" s="24" t="n">
        <x:f>G179^2</x:f>
        <x:v>0.6399999999999997</x:v>
      </x:c>
    </x:row>
    <x:row r="180">
      <x:c r="A180" t="str">
        <x:v>C024</x:v>
      </x:c>
      <x:c r="B180" t="str">
        <x:v>P024</x:v>
      </x:c>
      <x:c r="C180" t="str">
        <x:v>DE_EP_2024</x:v>
      </x:c>
      <x:c r="D180" t="str">
        <x:v>Sonstige</x:v>
      </x:c>
      <x:c r="E180" s="24" t="n">
        <x:v>14</x:v>
      </x:c>
      <x:c r="F180" s="24" t="n">
        <x:v>14.2</x:v>
      </x:c>
      <x:c r="G180" s="24" t="n">
        <x:f>E180-F180</x:f>
        <x:v>-0.1999999999999993</x:v>
      </x:c>
      <x:c r="H180" s="24" t="n">
        <x:f>ABS(G180)</x:f>
        <x:v>0.1999999999999993</x:v>
      </x:c>
      <x:c r="I180" s="24" t="n">
        <x:f>G180^2</x:f>
        <x:v>0.039999999999999716</x:v>
      </x:c>
    </x:row>
    <x:row r="181">
      <x:c r="A181" t="str">
        <x:v>C025</x:v>
      </x:c>
      <x:c r="B181" t="str">
        <x:v>P025</x:v>
      </x:c>
      <x:c r="C181" t="str">
        <x:v>DE_EP_2024</x:v>
      </x:c>
      <x:c r="D181" t="str">
        <x:v>CDU/CSU</x:v>
      </x:c>
      <x:c r="E181" s="24" t="n">
        <x:v>30</x:v>
      </x:c>
      <x:c r="F181" s="24" t="n">
        <x:v>30</x:v>
      </x:c>
      <x:c r="G181" s="24" t="n">
        <x:f>E181-F181</x:f>
        <x:v>0</x:v>
      </x:c>
      <x:c r="H181" s="24" t="n">
        <x:f>ABS(G181)</x:f>
        <x:v>0</x:v>
      </x:c>
      <x:c r="I181" s="24" t="n">
        <x:f>G181^2</x:f>
        <x:v>0</x:v>
      </x:c>
    </x:row>
    <x:row r="182">
      <x:c r="A182" t="str">
        <x:v>C025</x:v>
      </x:c>
      <x:c r="B182" t="str">
        <x:v>P025</x:v>
      </x:c>
      <x:c r="C182" t="str">
        <x:v>DE_EP_2024</x:v>
      </x:c>
      <x:c r="D182" t="str">
        <x:v>SPD</x:v>
      </x:c>
      <x:c r="E182" s="24" t="n">
        <x:v>14</x:v>
      </x:c>
      <x:c r="F182" s="24" t="n">
        <x:v>13.9</x:v>
      </x:c>
      <x:c r="G182" s="24" t="n">
        <x:f>E182-F182</x:f>
        <x:v>0.09999999999999964</x:v>
      </x:c>
      <x:c r="H182" s="24" t="n">
        <x:f>ABS(G182)</x:f>
        <x:v>0.09999999999999964</x:v>
      </x:c>
      <x:c r="I182" s="24" t="n">
        <x:f>G182^2</x:f>
        <x:v>0.009999999999999929</x:v>
      </x:c>
    </x:row>
    <x:row r="183">
      <x:c r="A183" t="str">
        <x:v>C025</x:v>
      </x:c>
      <x:c r="B183" t="str">
        <x:v>P025</x:v>
      </x:c>
      <x:c r="C183" t="str">
        <x:v>DE_EP_2024</x:v>
      </x:c>
      <x:c r="D183" t="str">
        <x:v>GRÜNE</x:v>
      </x:c>
      <x:c r="E183" s="24" t="n">
        <x:v>14</x:v>
      </x:c>
      <x:c r="F183" s="24" t="n">
        <x:v>11.9</x:v>
      </x:c>
      <x:c r="G183" s="24" t="n">
        <x:f>E183-F183</x:f>
        <x:v>2.0999999999999996</x:v>
      </x:c>
      <x:c r="H183" s="24" t="n">
        <x:f>ABS(G183)</x:f>
        <x:v>2.0999999999999996</x:v>
      </x:c>
      <x:c r="I183" s="24" t="n">
        <x:f>G183^2</x:f>
        <x:v>4.409999999999998</x:v>
      </x:c>
    </x:row>
    <x:row r="184">
      <x:c r="A184" t="str">
        <x:v>C025</x:v>
      </x:c>
      <x:c r="B184" t="str">
        <x:v>P025</x:v>
      </x:c>
      <x:c r="C184" t="str">
        <x:v>DE_EP_2024</x:v>
      </x:c>
      <x:c r="D184" t="str">
        <x:v>FDP</x:v>
      </x:c>
      <x:c r="E184" s="24" t="n">
        <x:v>4</x:v>
      </x:c>
      <x:c r="F184" s="24" t="n">
        <x:v>5.2</x:v>
      </x:c>
      <x:c r="G184" s="24" t="n">
        <x:f>E184-F184</x:f>
        <x:v>-1.2000000000000002</x:v>
      </x:c>
      <x:c r="H184" s="24" t="n">
        <x:f>ABS(G184)</x:f>
        <x:v>1.2000000000000002</x:v>
      </x:c>
      <x:c r="I184" s="24" t="n">
        <x:f>G184^2</x:f>
        <x:v>1.4400000000000004</x:v>
      </x:c>
    </x:row>
    <x:row r="185">
      <x:c r="A185" t="str">
        <x:v>C025</x:v>
      </x:c>
      <x:c r="B185" t="str">
        <x:v>P025</x:v>
      </x:c>
      <x:c r="C185" t="str">
        <x:v>DE_EP_2024</x:v>
      </x:c>
      <x:c r="D185" t="str">
        <x:v>LINKE</x:v>
      </x:c>
      <x:c r="E185" s="24" t="n">
        <x:v>3</x:v>
      </x:c>
      <x:c r="F185" s="24" t="n">
        <x:v>2.7</x:v>
      </x:c>
      <x:c r="G185" s="24" t="n">
        <x:f>E185-F185</x:f>
        <x:v>0.2999999999999998</x:v>
      </x:c>
      <x:c r="H185" s="24" t="n">
        <x:f>ABS(G185)</x:f>
        <x:v>0.2999999999999998</x:v>
      </x:c>
      <x:c r="I185" s="24" t="n">
        <x:f>G185^2</x:f>
        <x:v>0.0899999999999999</x:v>
      </x:c>
    </x:row>
    <x:row r="186">
      <x:c r="A186" t="str">
        <x:v>C025</x:v>
      </x:c>
      <x:c r="B186" t="str">
        <x:v>P025</x:v>
      </x:c>
      <x:c r="C186" t="str">
        <x:v>DE_EP_2024</x:v>
      </x:c>
      <x:c r="D186" t="str">
        <x:v>AfD</x:v>
      </x:c>
      <x:c r="E186" s="24" t="n">
        <x:v>14</x:v>
      </x:c>
      <x:c r="F186" s="24" t="n">
        <x:v>15.9</x:v>
      </x:c>
      <x:c r="G186" s="24" t="n">
        <x:f>E186-F186</x:f>
        <x:v>-1.9000000000000004</x:v>
      </x:c>
      <x:c r="H186" s="24" t="n">
        <x:f>ABS(G186)</x:f>
        <x:v>1.9000000000000004</x:v>
      </x:c>
      <x:c r="I186" s="24" t="n">
        <x:f>G186^2</x:f>
        <x:v>3.610000000000001</x:v>
      </x:c>
    </x:row>
    <x:row r="187">
      <x:c r="A187" t="str">
        <x:v>C025</x:v>
      </x:c>
      <x:c r="B187" t="str">
        <x:v>P025</x:v>
      </x:c>
      <x:c r="C187" t="str">
        <x:v>DE_EP_2024</x:v>
      </x:c>
      <x:c r="D187" t="str">
        <x:v>BSW</x:v>
      </x:c>
      <x:c r="E187" s="24" t="n">
        <x:v>7</x:v>
      </x:c>
      <x:c r="F187" s="24" t="n">
        <x:v>6.2</x:v>
      </x:c>
      <x:c r="G187" s="24" t="n">
        <x:f>E187-F187</x:f>
        <x:v>0.7999999999999998</x:v>
      </x:c>
      <x:c r="H187" s="24" t="n">
        <x:f>ABS(G187)</x:f>
        <x:v>0.7999999999999998</x:v>
      </x:c>
      <x:c r="I187" s="24" t="n">
        <x:f>G187^2</x:f>
        <x:v>0.6399999999999997</x:v>
      </x:c>
    </x:row>
    <x:row r="188">
      <x:c r="A188" t="str">
        <x:v>C025</x:v>
      </x:c>
      <x:c r="B188" t="str">
        <x:v>P025</x:v>
      </x:c>
      <x:c r="C188" t="str">
        <x:v>DE_EP_2024</x:v>
      </x:c>
      <x:c r="D188" t="str">
        <x:v>Sonstige</x:v>
      </x:c>
      <x:c r="E188" s="24" t="n">
        <x:v>14</x:v>
      </x:c>
      <x:c r="F188" s="24" t="n">
        <x:v>14.2</x:v>
      </x:c>
      <x:c r="G188" s="24" t="n">
        <x:f>E188-F188</x:f>
        <x:v>-0.1999999999999993</x:v>
      </x:c>
      <x:c r="H188" s="24" t="n">
        <x:f>ABS(G188)</x:f>
        <x:v>0.1999999999999993</x:v>
      </x:c>
      <x:c r="I188" s="24" t="n">
        <x:f>G188^2</x:f>
        <x:v>0.039999999999999716</x:v>
      </x:c>
    </x:row>
    <x:row r="189">
      <x:c r="A189" t="str">
        <x:v>C026</x:v>
      </x:c>
      <x:c r="B189" t="str">
        <x:v>P026</x:v>
      </x:c>
      <x:c r="C189" t="str">
        <x:v>DE_EP_2024</x:v>
      </x:c>
      <x:c r="D189" t="str">
        <x:v>CDU/CSU</x:v>
      </x:c>
      <x:c r="E189" s="24" t="n">
        <x:v>29</x:v>
      </x:c>
      <x:c r="F189" s="24" t="n">
        <x:v>30</x:v>
      </x:c>
      <x:c r="G189" s="24" t="n">
        <x:f>E189-F189</x:f>
        <x:v>-1</x:v>
      </x:c>
      <x:c r="H189" s="24" t="n">
        <x:f>ABS(G189)</x:f>
        <x:v>1</x:v>
      </x:c>
      <x:c r="I189" s="24" t="n">
        <x:f>G189^2</x:f>
        <x:v>1</x:v>
      </x:c>
    </x:row>
    <x:row r="190">
      <x:c r="A190" t="str">
        <x:v>C026</x:v>
      </x:c>
      <x:c r="B190" t="str">
        <x:v>P026</x:v>
      </x:c>
      <x:c r="C190" t="str">
        <x:v>DE_EP_2024</x:v>
      </x:c>
      <x:c r="D190" t="str">
        <x:v>SPD</x:v>
      </x:c>
      <x:c r="E190" s="24" t="n">
        <x:v>15</x:v>
      </x:c>
      <x:c r="F190" s="24" t="n">
        <x:v>13.9</x:v>
      </x:c>
      <x:c r="G190" s="24" t="n">
        <x:f>E190-F190</x:f>
        <x:v>1.0999999999999996</x:v>
      </x:c>
      <x:c r="H190" s="24" t="n">
        <x:f>ABS(G190)</x:f>
        <x:v>1.0999999999999996</x:v>
      </x:c>
      <x:c r="I190" s="24" t="n">
        <x:f>G190^2</x:f>
        <x:v>1.2099999999999993</x:v>
      </x:c>
    </x:row>
    <x:row r="191">
      <x:c r="A191" t="str">
        <x:v>C026</x:v>
      </x:c>
      <x:c r="B191" t="str">
        <x:v>P026</x:v>
      </x:c>
      <x:c r="C191" t="str">
        <x:v>DE_EP_2024</x:v>
      </x:c>
      <x:c r="D191" t="str">
        <x:v>GRÜNE</x:v>
      </x:c>
      <x:c r="E191" s="24" t="n">
        <x:v>14</x:v>
      </x:c>
      <x:c r="F191" s="24" t="n">
        <x:v>11.9</x:v>
      </x:c>
      <x:c r="G191" s="24" t="n">
        <x:f>E191-F191</x:f>
        <x:v>2.0999999999999996</x:v>
      </x:c>
      <x:c r="H191" s="24" t="n">
        <x:f>ABS(G191)</x:f>
        <x:v>2.0999999999999996</x:v>
      </x:c>
      <x:c r="I191" s="24" t="n">
        <x:f>G191^2</x:f>
        <x:v>4.409999999999998</x:v>
      </x:c>
    </x:row>
    <x:row r="192">
      <x:c r="A192" t="str">
        <x:v>C026</x:v>
      </x:c>
      <x:c r="B192" t="str">
        <x:v>P026</x:v>
      </x:c>
      <x:c r="C192" t="str">
        <x:v>DE_EP_2024</x:v>
      </x:c>
      <x:c r="D192" t="str">
        <x:v>FDP</x:v>
      </x:c>
      <x:c r="E192" s="24" t="n">
        <x:v>4</x:v>
      </x:c>
      <x:c r="F192" s="24" t="n">
        <x:v>5.2</x:v>
      </x:c>
      <x:c r="G192" s="24" t="n">
        <x:f>E192-F192</x:f>
        <x:v>-1.2000000000000002</x:v>
      </x:c>
      <x:c r="H192" s="24" t="n">
        <x:f>ABS(G192)</x:f>
        <x:v>1.2000000000000002</x:v>
      </x:c>
      <x:c r="I192" s="24" t="n">
        <x:f>G192^2</x:f>
        <x:v>1.4400000000000004</x:v>
      </x:c>
    </x:row>
    <x:row r="193">
      <x:c r="A193" t="str">
        <x:v>C026</x:v>
      </x:c>
      <x:c r="B193" t="str">
        <x:v>P026</x:v>
      </x:c>
      <x:c r="C193" t="str">
        <x:v>DE_EP_2024</x:v>
      </x:c>
      <x:c r="D193" t="str">
        <x:v>LINKE</x:v>
      </x:c>
      <x:c r="E193" s="24" t="n">
        <x:v>3</x:v>
      </x:c>
      <x:c r="F193" s="24" t="n">
        <x:v>2.7</x:v>
      </x:c>
      <x:c r="G193" s="24" t="n">
        <x:f>E193-F193</x:f>
        <x:v>0.2999999999999998</x:v>
      </x:c>
      <x:c r="H193" s="24" t="n">
        <x:f>ABS(G193)</x:f>
        <x:v>0.2999999999999998</x:v>
      </x:c>
      <x:c r="I193" s="24" t="n">
        <x:f>G193^2</x:f>
        <x:v>0.0899999999999999</x:v>
      </x:c>
    </x:row>
    <x:row r="194">
      <x:c r="A194" t="str">
        <x:v>C026</x:v>
      </x:c>
      <x:c r="B194" t="str">
        <x:v>P026</x:v>
      </x:c>
      <x:c r="C194" t="str">
        <x:v>DE_EP_2024</x:v>
      </x:c>
      <x:c r="D194" t="str">
        <x:v>AfD</x:v>
      </x:c>
      <x:c r="E194" s="24" t="n">
        <x:v>14</x:v>
      </x:c>
      <x:c r="F194" s="24" t="n">
        <x:v>15.9</x:v>
      </x:c>
      <x:c r="G194" s="24" t="n">
        <x:f>E194-F194</x:f>
        <x:v>-1.9000000000000004</x:v>
      </x:c>
      <x:c r="H194" s="24" t="n">
        <x:f>ABS(G194)</x:f>
        <x:v>1.9000000000000004</x:v>
      </x:c>
      <x:c r="I194" s="24" t="n">
        <x:f>G194^2</x:f>
        <x:v>3.610000000000001</x:v>
      </x:c>
    </x:row>
    <x:row r="195">
      <x:c r="A195" t="str">
        <x:v>C026</x:v>
      </x:c>
      <x:c r="B195" t="str">
        <x:v>P026</x:v>
      </x:c>
      <x:c r="C195" t="str">
        <x:v>DE_EP_2024</x:v>
      </x:c>
      <x:c r="D195" t="str">
        <x:v>BSW</x:v>
      </x:c>
      <x:c r="E195" s="24" t="n">
        <x:v>6</x:v>
      </x:c>
      <x:c r="F195" s="24" t="n">
        <x:v>6.2</x:v>
      </x:c>
      <x:c r="G195" s="24" t="n">
        <x:f>E195-F195</x:f>
        <x:v>-0.20000000000000018</x:v>
      </x:c>
      <x:c r="H195" s="24" t="n">
        <x:f>ABS(G195)</x:f>
        <x:v>0.20000000000000018</x:v>
      </x:c>
      <x:c r="I195" s="24" t="n">
        <x:f>G195^2</x:f>
        <x:v>0.04000000000000007</x:v>
      </x:c>
    </x:row>
    <x:row r="196">
      <x:c r="A196" t="str">
        <x:v>C026</x:v>
      </x:c>
      <x:c r="B196" t="str">
        <x:v>P026</x:v>
      </x:c>
      <x:c r="C196" t="str">
        <x:v>DE_EP_2024</x:v>
      </x:c>
      <x:c r="D196" t="str">
        <x:v>Sonstige</x:v>
      </x:c>
      <x:c r="E196" s="24" t="n">
        <x:v>15</x:v>
      </x:c>
      <x:c r="F196" s="24" t="n">
        <x:v>14.2</x:v>
      </x:c>
      <x:c r="G196" s="24" t="n">
        <x:f>E196-F196</x:f>
        <x:v>0.8000000000000007</x:v>
      </x:c>
      <x:c r="H196" s="24" t="n">
        <x:f>ABS(G196)</x:f>
        <x:v>0.8000000000000007</x:v>
      </x:c>
      <x:c r="I196" s="24" t="n">
        <x:f>G196^2</x:f>
        <x:v>0.6400000000000011</x:v>
      </x:c>
    </x:row>
    <x:row r="197">
      <x:c r="A197" t="str">
        <x:v>C027</x:v>
      </x:c>
      <x:c r="B197" t="str">
        <x:v>P027</x:v>
      </x:c>
      <x:c r="C197" t="str">
        <x:v>DE_EP_2024</x:v>
      </x:c>
      <x:c r="D197" t="str">
        <x:v>CDU/CSU</x:v>
      </x:c>
      <x:c r="E197" s="24" t="n">
        <x:v>29</x:v>
      </x:c>
      <x:c r="F197" s="24" t="n">
        <x:v>30</x:v>
      </x:c>
      <x:c r="G197" s="24" t="n">
        <x:f>E197-F197</x:f>
        <x:v>-1</x:v>
      </x:c>
      <x:c r="H197" s="24" t="n">
        <x:f>ABS(G197)</x:f>
        <x:v>1</x:v>
      </x:c>
      <x:c r="I197" s="24" t="n">
        <x:f>G197^2</x:f>
        <x:v>1</x:v>
      </x:c>
    </x:row>
    <x:row r="198">
      <x:c r="A198" t="str">
        <x:v>C027</x:v>
      </x:c>
      <x:c r="B198" t="str">
        <x:v>P027</x:v>
      </x:c>
      <x:c r="C198" t="str">
        <x:v>DE_EP_2024</x:v>
      </x:c>
      <x:c r="D198" t="str">
        <x:v>SPD</x:v>
      </x:c>
      <x:c r="E198" s="24" t="n">
        <x:v>15</x:v>
      </x:c>
      <x:c r="F198" s="24" t="n">
        <x:v>13.9</x:v>
      </x:c>
      <x:c r="G198" s="24" t="n">
        <x:f>E198-F198</x:f>
        <x:v>1.0999999999999996</x:v>
      </x:c>
      <x:c r="H198" s="24" t="n">
        <x:f>ABS(G198)</x:f>
        <x:v>1.0999999999999996</x:v>
      </x:c>
      <x:c r="I198" s="24" t="n">
        <x:f>G198^2</x:f>
        <x:v>1.2099999999999993</x:v>
      </x:c>
    </x:row>
    <x:row r="199">
      <x:c r="A199" t="str">
        <x:v>C027</x:v>
      </x:c>
      <x:c r="B199" t="str">
        <x:v>P027</x:v>
      </x:c>
      <x:c r="C199" t="str">
        <x:v>DE_EP_2024</x:v>
      </x:c>
      <x:c r="D199" t="str">
        <x:v>GRÜNE</x:v>
      </x:c>
      <x:c r="E199" s="24" t="n">
        <x:v>14</x:v>
      </x:c>
      <x:c r="F199" s="24" t="n">
        <x:v>11.9</x:v>
      </x:c>
      <x:c r="G199" s="24" t="n">
        <x:f>E199-F199</x:f>
        <x:v>2.0999999999999996</x:v>
      </x:c>
      <x:c r="H199" s="24" t="n">
        <x:f>ABS(G199)</x:f>
        <x:v>2.0999999999999996</x:v>
      </x:c>
      <x:c r="I199" s="24" t="n">
        <x:f>G199^2</x:f>
        <x:v>4.409999999999998</x:v>
      </x:c>
    </x:row>
    <x:row r="200">
      <x:c r="A200" t="str">
        <x:v>C027</x:v>
      </x:c>
      <x:c r="B200" t="str">
        <x:v>P027</x:v>
      </x:c>
      <x:c r="C200" t="str">
        <x:v>DE_EP_2024</x:v>
      </x:c>
      <x:c r="D200" t="str">
        <x:v>FDP</x:v>
      </x:c>
      <x:c r="E200" s="24" t="n">
        <x:v>4</x:v>
      </x:c>
      <x:c r="F200" s="24" t="n">
        <x:v>5.2</x:v>
      </x:c>
      <x:c r="G200" s="24" t="n">
        <x:f>E200-F200</x:f>
        <x:v>-1.2000000000000002</x:v>
      </x:c>
      <x:c r="H200" s="24" t="n">
        <x:f>ABS(G200)</x:f>
        <x:v>1.2000000000000002</x:v>
      </x:c>
      <x:c r="I200" s="24" t="n">
        <x:f>G200^2</x:f>
        <x:v>1.4400000000000004</x:v>
      </x:c>
    </x:row>
    <x:row r="201">
      <x:c r="A201" t="str">
        <x:v>C027</x:v>
      </x:c>
      <x:c r="B201" t="str">
        <x:v>P027</x:v>
      </x:c>
      <x:c r="C201" t="str">
        <x:v>DE_EP_2024</x:v>
      </x:c>
      <x:c r="D201" t="str">
        <x:v>LINKE</x:v>
      </x:c>
      <x:c r="E201" s="24" t="n">
        <x:v>3</x:v>
      </x:c>
      <x:c r="F201" s="24" t="n">
        <x:v>2.7</x:v>
      </x:c>
      <x:c r="G201" s="24" t="n">
        <x:f>E201-F201</x:f>
        <x:v>0.2999999999999998</x:v>
      </x:c>
      <x:c r="H201" s="24" t="n">
        <x:f>ABS(G201)</x:f>
        <x:v>0.2999999999999998</x:v>
      </x:c>
      <x:c r="I201" s="24" t="n">
        <x:f>G201^2</x:f>
        <x:v>0.0899999999999999</x:v>
      </x:c>
    </x:row>
    <x:row r="202">
      <x:c r="A202" t="str">
        <x:v>C027</x:v>
      </x:c>
      <x:c r="B202" t="str">
        <x:v>P027</x:v>
      </x:c>
      <x:c r="C202" t="str">
        <x:v>DE_EP_2024</x:v>
      </x:c>
      <x:c r="D202" t="str">
        <x:v>AfD</x:v>
      </x:c>
      <x:c r="E202" s="24" t="n">
        <x:v>14</x:v>
      </x:c>
      <x:c r="F202" s="24" t="n">
        <x:v>15.9</x:v>
      </x:c>
      <x:c r="G202" s="24" t="n">
        <x:f>E202-F202</x:f>
        <x:v>-1.9000000000000004</x:v>
      </x:c>
      <x:c r="H202" s="24" t="n">
        <x:f>ABS(G202)</x:f>
        <x:v>1.9000000000000004</x:v>
      </x:c>
      <x:c r="I202" s="24" t="n">
        <x:f>G202^2</x:f>
        <x:v>3.610000000000001</x:v>
      </x:c>
    </x:row>
    <x:row r="203">
      <x:c r="A203" t="str">
        <x:v>C027</x:v>
      </x:c>
      <x:c r="B203" t="str">
        <x:v>P027</x:v>
      </x:c>
      <x:c r="C203" t="str">
        <x:v>DE_EP_2024</x:v>
      </x:c>
      <x:c r="D203" t="str">
        <x:v>BSW</x:v>
      </x:c>
      <x:c r="E203" s="24" t="n">
        <x:v>6</x:v>
      </x:c>
      <x:c r="F203" s="24" t="n">
        <x:v>6.2</x:v>
      </x:c>
      <x:c r="G203" s="24" t="n">
        <x:f>E203-F203</x:f>
        <x:v>-0.20000000000000018</x:v>
      </x:c>
      <x:c r="H203" s="24" t="n">
        <x:f>ABS(G203)</x:f>
        <x:v>0.20000000000000018</x:v>
      </x:c>
      <x:c r="I203" s="24" t="n">
        <x:f>G203^2</x:f>
        <x:v>0.04000000000000007</x:v>
      </x:c>
    </x:row>
    <x:row r="204">
      <x:c r="A204" t="str">
        <x:v>C027</x:v>
      </x:c>
      <x:c r="B204" t="str">
        <x:v>P027</x:v>
      </x:c>
      <x:c r="C204" t="str">
        <x:v>DE_EP_2024</x:v>
      </x:c>
      <x:c r="D204" t="str">
        <x:v>Sonstige</x:v>
      </x:c>
      <x:c r="E204" s="24" t="n">
        <x:v>15</x:v>
      </x:c>
      <x:c r="F204" s="24" t="n">
        <x:v>14.2</x:v>
      </x:c>
      <x:c r="G204" s="24" t="n">
        <x:f>E204-F204</x:f>
        <x:v>0.8000000000000007</x:v>
      </x:c>
      <x:c r="H204" s="24" t="n">
        <x:f>ABS(G204)</x:f>
        <x:v>0.8000000000000007</x:v>
      </x:c>
      <x:c r="I204" s="24" t="n">
        <x:f>G204^2</x:f>
        <x:v>0.6400000000000011</x:v>
      </x:c>
    </x:row>
    <x:row r="205">
      <x:c r="A205" t="str">
        <x:v>C028</x:v>
      </x:c>
      <x:c r="B205" t="str">
        <x:v>P028</x:v>
      </x:c>
      <x:c r="C205" t="str">
        <x:v>DE_EP_2024</x:v>
      </x:c>
      <x:c r="D205" t="str">
        <x:v>CDU/CSU</x:v>
      </x:c>
      <x:c r="E205" s="24" t="n">
        <x:v>30</x:v>
      </x:c>
      <x:c r="F205" s="24" t="n">
        <x:v>30</x:v>
      </x:c>
      <x:c r="G205" s="24" t="n">
        <x:f>E205-F205</x:f>
        <x:v>0</x:v>
      </x:c>
      <x:c r="H205" s="24" t="n">
        <x:f>ABS(G205)</x:f>
        <x:v>0</x:v>
      </x:c>
      <x:c r="I205" s="24" t="n">
        <x:f>G205^2</x:f>
        <x:v>0</x:v>
      </x:c>
    </x:row>
    <x:row r="206">
      <x:c r="A206" t="str">
        <x:v>C028</x:v>
      </x:c>
      <x:c r="B206" t="str">
        <x:v>P028</x:v>
      </x:c>
      <x:c r="C206" t="str">
        <x:v>DE_EP_2024</x:v>
      </x:c>
      <x:c r="D206" t="str">
        <x:v>SPD</x:v>
      </x:c>
      <x:c r="E206" s="24" t="n">
        <x:v>15</x:v>
      </x:c>
      <x:c r="F206" s="24" t="n">
        <x:v>13.9</x:v>
      </x:c>
      <x:c r="G206" s="24" t="n">
        <x:f>E206-F206</x:f>
        <x:v>1.0999999999999996</x:v>
      </x:c>
      <x:c r="H206" s="24" t="n">
        <x:f>ABS(G206)</x:f>
        <x:v>1.0999999999999996</x:v>
      </x:c>
      <x:c r="I206" s="24" t="n">
        <x:f>G206^2</x:f>
        <x:v>1.2099999999999993</x:v>
      </x:c>
    </x:row>
    <x:row r="207">
      <x:c r="A207" t="str">
        <x:v>C028</x:v>
      </x:c>
      <x:c r="B207" t="str">
        <x:v>P028</x:v>
      </x:c>
      <x:c r="C207" t="str">
        <x:v>DE_EP_2024</x:v>
      </x:c>
      <x:c r="D207" t="str">
        <x:v>GRÜNE</x:v>
      </x:c>
      <x:c r="E207" s="24" t="n">
        <x:v>15</x:v>
      </x:c>
      <x:c r="F207" s="24" t="n">
        <x:v>11.9</x:v>
      </x:c>
      <x:c r="G207" s="24" t="n">
        <x:f>E207-F207</x:f>
        <x:v>3.0999999999999996</x:v>
      </x:c>
      <x:c r="H207" s="24" t="n">
        <x:f>ABS(G207)</x:f>
        <x:v>3.0999999999999996</x:v>
      </x:c>
      <x:c r="I207" s="24" t="n">
        <x:f>G207^2</x:f>
        <x:v>9.609999999999998</x:v>
      </x:c>
    </x:row>
    <x:row r="208">
      <x:c r="A208" t="str">
        <x:v>C028</x:v>
      </x:c>
      <x:c r="B208" t="str">
        <x:v>P028</x:v>
      </x:c>
      <x:c r="C208" t="str">
        <x:v>DE_EP_2024</x:v>
      </x:c>
      <x:c r="D208" t="str">
        <x:v>FDP</x:v>
      </x:c>
      <x:c r="E208" s="24" t="n">
        <x:v>5</x:v>
      </x:c>
      <x:c r="F208" s="24" t="n">
        <x:v>5.2</x:v>
      </x:c>
      <x:c r="G208" s="24" t="n">
        <x:f>E208-F208</x:f>
        <x:v>-0.20000000000000018</x:v>
      </x:c>
      <x:c r="H208" s="24" t="n">
        <x:f>ABS(G208)</x:f>
        <x:v>0.20000000000000018</x:v>
      </x:c>
      <x:c r="I208" s="24" t="n">
        <x:f>G208^2</x:f>
        <x:v>0.04000000000000007</x:v>
      </x:c>
    </x:row>
    <x:row r="209">
      <x:c r="A209" t="str">
        <x:v>C028</x:v>
      </x:c>
      <x:c r="B209" t="str">
        <x:v>P028</x:v>
      </x:c>
      <x:c r="C209" t="str">
        <x:v>DE_EP_2024</x:v>
      </x:c>
      <x:c r="D209" t="str">
        <x:v>LINKE</x:v>
      </x:c>
      <x:c r="E209" s="24" t="n">
        <x:v>3</x:v>
      </x:c>
      <x:c r="F209" s="24" t="n">
        <x:v>2.7</x:v>
      </x:c>
      <x:c r="G209" s="24" t="n">
        <x:f>E209-F209</x:f>
        <x:v>0.2999999999999998</x:v>
      </x:c>
      <x:c r="H209" s="24" t="n">
        <x:f>ABS(G209)</x:f>
        <x:v>0.2999999999999998</x:v>
      </x:c>
      <x:c r="I209" s="24" t="n">
        <x:f>G209^2</x:f>
        <x:v>0.0899999999999999</x:v>
      </x:c>
    </x:row>
    <x:row r="210">
      <x:c r="A210" t="str">
        <x:v>C028</x:v>
      </x:c>
      <x:c r="B210" t="str">
        <x:v>P028</x:v>
      </x:c>
      <x:c r="C210" t="str">
        <x:v>DE_EP_2024</x:v>
      </x:c>
      <x:c r="D210" t="str">
        <x:v>AfD</x:v>
      </x:c>
      <x:c r="E210" s="24" t="n">
        <x:v>14</x:v>
      </x:c>
      <x:c r="F210" s="24" t="n">
        <x:v>15.9</x:v>
      </x:c>
      <x:c r="G210" s="24" t="n">
        <x:f>E210-F210</x:f>
        <x:v>-1.9000000000000004</x:v>
      </x:c>
      <x:c r="H210" s="24" t="n">
        <x:f>ABS(G210)</x:f>
        <x:v>1.9000000000000004</x:v>
      </x:c>
      <x:c r="I210" s="24" t="n">
        <x:f>G210^2</x:f>
        <x:v>3.610000000000001</x:v>
      </x:c>
    </x:row>
    <x:row r="211">
      <x:c r="A211" t="str">
        <x:v>C028</x:v>
      </x:c>
      <x:c r="B211" t="str">
        <x:v>P028</x:v>
      </x:c>
      <x:c r="C211" t="str">
        <x:v>DE_EP_2024</x:v>
      </x:c>
      <x:c r="D211" t="str">
        <x:v>BSW</x:v>
      </x:c>
      <x:c r="E211" s="24" t="n">
        <x:v>7</x:v>
      </x:c>
      <x:c r="F211" s="24" t="n">
        <x:v>6.2</x:v>
      </x:c>
      <x:c r="G211" s="24" t="n">
        <x:f>E211-F211</x:f>
        <x:v>0.7999999999999998</x:v>
      </x:c>
      <x:c r="H211" s="24" t="n">
        <x:f>ABS(G211)</x:f>
        <x:v>0.7999999999999998</x:v>
      </x:c>
      <x:c r="I211" s="24" t="n">
        <x:f>G211^2</x:f>
        <x:v>0.6399999999999997</x:v>
      </x:c>
    </x:row>
    <x:row r="212">
      <x:c r="A212" t="str">
        <x:v>C028</x:v>
      </x:c>
      <x:c r="B212" t="str">
        <x:v>P028</x:v>
      </x:c>
      <x:c r="C212" t="str">
        <x:v>DE_EP_2024</x:v>
      </x:c>
      <x:c r="D212" t="str">
        <x:v>Sonstige</x:v>
      </x:c>
      <x:c r="E212" s="24" t="n">
        <x:v>11</x:v>
      </x:c>
      <x:c r="F212" s="24" t="n">
        <x:v>14.2</x:v>
      </x:c>
      <x:c r="G212" s="24" t="n">
        <x:f>E212-F212</x:f>
        <x:v>-3.1999999999999993</x:v>
      </x:c>
      <x:c r="H212" s="24" t="n">
        <x:f>ABS(G212)</x:f>
        <x:v>3.1999999999999993</x:v>
      </x:c>
      <x:c r="I212" s="24" t="n">
        <x:f>G212^2</x:f>
        <x:v>10.239999999999995</x:v>
      </x:c>
    </x:row>
    <x:row r="213">
      <x:c r="A213" t="str">
        <x:v>C029</x:v>
      </x:c>
      <x:c r="B213" t="str">
        <x:v>P029</x:v>
      </x:c>
      <x:c r="C213" t="str">
        <x:v>DE_EP_2024</x:v>
      </x:c>
      <x:c r="D213" t="str">
        <x:v>CDU/CSU</x:v>
      </x:c>
      <x:c r="E213" s="24" t="n">
        <x:v>29</x:v>
      </x:c>
      <x:c r="F213" s="24" t="n">
        <x:v>30</x:v>
      </x:c>
      <x:c r="G213" s="24" t="n">
        <x:f>E213-F213</x:f>
        <x:v>-1</x:v>
      </x:c>
      <x:c r="H213" s="24" t="n">
        <x:f>ABS(G213)</x:f>
        <x:v>1</x:v>
      </x:c>
      <x:c r="I213" s="24" t="n">
        <x:f>G213^2</x:f>
        <x:v>1</x:v>
      </x:c>
    </x:row>
    <x:row r="214">
      <x:c r="A214" t="str">
        <x:v>C029</x:v>
      </x:c>
      <x:c r="B214" t="str">
        <x:v>P029</x:v>
      </x:c>
      <x:c r="C214" t="str">
        <x:v>DE_EP_2024</x:v>
      </x:c>
      <x:c r="D214" t="str">
        <x:v>SPD</x:v>
      </x:c>
      <x:c r="E214" s="24" t="n">
        <x:v>16</x:v>
      </x:c>
      <x:c r="F214" s="24" t="n">
        <x:v>13.9</x:v>
      </x:c>
      <x:c r="G214" s="24" t="n">
        <x:f>E214-F214</x:f>
        <x:v>2.0999999999999996</x:v>
      </x:c>
      <x:c r="H214" s="24" t="n">
        <x:f>ABS(G214)</x:f>
        <x:v>2.0999999999999996</x:v>
      </x:c>
      <x:c r="I214" s="24" t="n">
        <x:f>G214^2</x:f>
        <x:v>4.409999999999998</x:v>
      </x:c>
    </x:row>
    <x:row r="215">
      <x:c r="A215" t="str">
        <x:v>C029</x:v>
      </x:c>
      <x:c r="B215" t="str">
        <x:v>P029</x:v>
      </x:c>
      <x:c r="C215" t="str">
        <x:v>DE_EP_2024</x:v>
      </x:c>
      <x:c r="D215" t="str">
        <x:v>GRÜNE</x:v>
      </x:c>
      <x:c r="E215" s="24" t="n">
        <x:v>15</x:v>
      </x:c>
      <x:c r="F215" s="24" t="n">
        <x:v>11.9</x:v>
      </x:c>
      <x:c r="G215" s="24" t="n">
        <x:f>E215-F215</x:f>
        <x:v>3.0999999999999996</x:v>
      </x:c>
      <x:c r="H215" s="24" t="n">
        <x:f>ABS(G215)</x:f>
        <x:v>3.0999999999999996</x:v>
      </x:c>
      <x:c r="I215" s="24" t="n">
        <x:f>G215^2</x:f>
        <x:v>9.609999999999998</x:v>
      </x:c>
    </x:row>
    <x:row r="216">
      <x:c r="A216" t="str">
        <x:v>C029</x:v>
      </x:c>
      <x:c r="B216" t="str">
        <x:v>P029</x:v>
      </x:c>
      <x:c r="C216" t="str">
        <x:v>DE_EP_2024</x:v>
      </x:c>
      <x:c r="D216" t="str">
        <x:v>FDP</x:v>
      </x:c>
      <x:c r="E216" s="24" t="n">
        <x:v>4</x:v>
      </x:c>
      <x:c r="F216" s="24" t="n">
        <x:v>5.2</x:v>
      </x:c>
      <x:c r="G216" s="24" t="n">
        <x:f>E216-F216</x:f>
        <x:v>-1.2000000000000002</x:v>
      </x:c>
      <x:c r="H216" s="24" t="n">
        <x:f>ABS(G216)</x:f>
        <x:v>1.2000000000000002</x:v>
      </x:c>
      <x:c r="I216" s="24" t="n">
        <x:f>G216^2</x:f>
        <x:v>1.4400000000000004</x:v>
      </x:c>
    </x:row>
    <x:row r="217">
      <x:c r="A217" t="str">
        <x:v>C029</x:v>
      </x:c>
      <x:c r="B217" t="str">
        <x:v>P029</x:v>
      </x:c>
      <x:c r="C217" t="str">
        <x:v>DE_EP_2024</x:v>
      </x:c>
      <x:c r="D217" t="str">
        <x:v>LINKE</x:v>
      </x:c>
      <x:c r="E217" s="24" t="n">
        <x:v>4</x:v>
      </x:c>
      <x:c r="F217" s="24" t="n">
        <x:v>2.7</x:v>
      </x:c>
      <x:c r="G217" s="24" t="n">
        <x:f>E217-F217</x:f>
        <x:v>1.2999999999999998</x:v>
      </x:c>
      <x:c r="H217" s="24" t="n">
        <x:f>ABS(G217)</x:f>
        <x:v>1.2999999999999998</x:v>
      </x:c>
      <x:c r="I217" s="24" t="n">
        <x:f>G217^2</x:f>
        <x:v>1.6899999999999995</x:v>
      </x:c>
    </x:row>
    <x:row r="218">
      <x:c r="A218" t="str">
        <x:v>C029</x:v>
      </x:c>
      <x:c r="B218" t="str">
        <x:v>P029</x:v>
      </x:c>
      <x:c r="C218" t="str">
        <x:v>DE_EP_2024</x:v>
      </x:c>
      <x:c r="D218" t="str">
        <x:v>AfD</x:v>
      </x:c>
      <x:c r="E218" s="24" t="n">
        <x:v>20</x:v>
      </x:c>
      <x:c r="F218" s="24" t="n">
        <x:v>15.9</x:v>
      </x:c>
      <x:c r="G218" s="24" t="n">
        <x:f>E218-F218</x:f>
        <x:v>4.1</x:v>
      </x:c>
      <x:c r="H218" s="24" t="n">
        <x:f>ABS(G218)</x:f>
        <x:v>4.1</x:v>
      </x:c>
      <x:c r="I218" s="24" t="n">
        <x:f>G218^2</x:f>
        <x:v>16.81</x:v>
      </x:c>
    </x:row>
    <x:row r="219">
      <x:c r="A219" t="str">
        <x:v>C029</x:v>
      </x:c>
      <x:c r="B219" t="str">
        <x:v>P029</x:v>
      </x:c>
      <x:c r="C219" t="str">
        <x:v>DE_EP_2024</x:v>
      </x:c>
      <x:c r="D219" t="str">
        <x:v>BSW</x:v>
      </x:c>
      <x:c r="E219" s="24" t="n">
        <x:v>6</x:v>
      </x:c>
      <x:c r="F219" s="24" t="n">
        <x:v>6.2</x:v>
      </x:c>
      <x:c r="G219" s="24" t="n">
        <x:f>E219-F219</x:f>
        <x:v>-0.20000000000000018</x:v>
      </x:c>
      <x:c r="H219" s="24" t="n">
        <x:f>ABS(G219)</x:f>
        <x:v>0.20000000000000018</x:v>
      </x:c>
      <x:c r="I219" s="24" t="n">
        <x:f>G219^2</x:f>
        <x:v>0.04000000000000007</x:v>
      </x:c>
    </x:row>
    <x:row r="220">
      <x:c r="A220" t="str">
        <x:v>C029</x:v>
      </x:c>
      <x:c r="B220" t="str">
        <x:v>P029</x:v>
      </x:c>
      <x:c r="C220" t="str">
        <x:v>DE_EP_2024</x:v>
      </x:c>
      <x:c r="D220" t="str">
        <x:v>Sonstige</x:v>
      </x:c>
      <x:c r="E220" s="24" t="n">
        <x:v>6</x:v>
      </x:c>
      <x:c r="F220" s="24" t="n">
        <x:v>14.2</x:v>
      </x:c>
      <x:c r="G220" s="24" t="n">
        <x:f>E220-F220</x:f>
        <x:v>-8.2</x:v>
      </x:c>
      <x:c r="H220" s="24" t="n">
        <x:f>ABS(G220)</x:f>
        <x:v>8.2</x:v>
      </x:c>
      <x:c r="I220" s="24" t="n">
        <x:f>G220^2</x:f>
        <x:v>67.24</x:v>
      </x:c>
    </x:row>
    <x:row r="221">
      <x:c r="A221" t="str">
        <x:v>C030</x:v>
      </x:c>
      <x:c r="B221" t="str">
        <x:v>P030</x:v>
      </x:c>
      <x:c r="C221" t="str">
        <x:v>DE_HE_2023</x:v>
      </x:c>
      <x:c r="D221" t="str">
        <x:v>CDU</x:v>
      </x:c>
      <x:c r="E221" s="24" t="n">
        <x:v>32</x:v>
      </x:c>
      <x:c r="F221" s="24" t="n">
        <x:v>34.6</x:v>
      </x:c>
      <x:c r="G221" s="24" t="n">
        <x:f>E221-F221</x:f>
        <x:v>-2.6000000000000014</x:v>
      </x:c>
      <x:c r="H221" s="24" t="n">
        <x:f>ABS(G221)</x:f>
        <x:v>2.6000000000000014</x:v>
      </x:c>
      <x:c r="I221" s="24" t="n">
        <x:f>G221^2</x:f>
        <x:v>6.760000000000008</x:v>
      </x:c>
    </x:row>
    <x:row r="222">
      <x:c r="A222" t="str">
        <x:v>C030</x:v>
      </x:c>
      <x:c r="B222" t="str">
        <x:v>P030</x:v>
      </x:c>
      <x:c r="C222" t="str">
        <x:v>DE_HE_2023</x:v>
      </x:c>
      <x:c r="D222" t="str">
        <x:v>SPD</x:v>
      </x:c>
      <x:c r="E222" s="24" t="n">
        <x:v>17</x:v>
      </x:c>
      <x:c r="F222" s="24" t="n">
        <x:v>15.1</x:v>
      </x:c>
      <x:c r="G222" s="24" t="n">
        <x:f>E222-F222</x:f>
        <x:v>1.9000000000000004</x:v>
      </x:c>
      <x:c r="H222" s="24" t="n">
        <x:f>ABS(G222)</x:f>
        <x:v>1.9000000000000004</x:v>
      </x:c>
      <x:c r="I222" s="24" t="n">
        <x:f>G222^2</x:f>
        <x:v>3.610000000000001</x:v>
      </x:c>
    </x:row>
    <x:row r="223">
      <x:c r="A223" t="str">
        <x:v>C030</x:v>
      </x:c>
      <x:c r="B223" t="str">
        <x:v>P030</x:v>
      </x:c>
      <x:c r="C223" t="str">
        <x:v>DE_HE_2023</x:v>
      </x:c>
      <x:c r="D223" t="str">
        <x:v>GRÜNE</x:v>
      </x:c>
      <x:c r="E223" s="24" t="n">
        <x:v>17</x:v>
      </x:c>
      <x:c r="F223" s="24" t="n">
        <x:v>14.8</x:v>
      </x:c>
      <x:c r="G223" s="24" t="n">
        <x:f>E223-F223</x:f>
        <x:v>2.1999999999999993</x:v>
      </x:c>
      <x:c r="H223" s="24" t="n">
        <x:f>ABS(G223)</x:f>
        <x:v>2.1999999999999993</x:v>
      </x:c>
      <x:c r="I223" s="24" t="n">
        <x:f>G223^2</x:f>
        <x:v>4.839999999999997</x:v>
      </x:c>
    </x:row>
    <x:row r="224">
      <x:c r="A224" t="str">
        <x:v>C030</x:v>
      </x:c>
      <x:c r="B224" t="str">
        <x:v>P030</x:v>
      </x:c>
      <x:c r="C224" t="str">
        <x:v>DE_HE_2023</x:v>
      </x:c>
      <x:c r="D224" t="str">
        <x:v>FDP</x:v>
      </x:c>
      <x:c r="E224" s="24" t="n">
        <x:v>5</x:v>
      </x:c>
      <x:c r="F224" s="24" t="n">
        <x:v>5</x:v>
      </x:c>
      <x:c r="G224" s="24" t="n">
        <x:f>E224-F224</x:f>
        <x:v>0</x:v>
      </x:c>
      <x:c r="H224" s="24" t="n">
        <x:f>ABS(G224)</x:f>
        <x:v>0</x:v>
      </x:c>
      <x:c r="I224" s="24" t="n">
        <x:f>G224^2</x:f>
        <x:v>0</x:v>
      </x:c>
    </x:row>
    <x:row r="225">
      <x:c r="A225" t="str">
        <x:v>C030</x:v>
      </x:c>
      <x:c r="B225" t="str">
        <x:v>P030</x:v>
      </x:c>
      <x:c r="C225" t="str">
        <x:v>DE_HE_2023</x:v>
      </x:c>
      <x:c r="D225" t="str">
        <x:v>LINKE</x:v>
      </x:c>
      <x:c r="E225" s="24" t="n">
        <x:v>3</x:v>
      </x:c>
      <x:c r="F225" s="24" t="n">
        <x:v>3.1</x:v>
      </x:c>
      <x:c r="G225" s="24" t="n">
        <x:f>E225-F225</x:f>
        <x:v>-0.10000000000000009</x:v>
      </x:c>
      <x:c r="H225" s="24" t="n">
        <x:f>ABS(G225)</x:f>
        <x:v>0.10000000000000009</x:v>
      </x:c>
      <x:c r="I225" s="24" t="n">
        <x:f>G225^2</x:f>
        <x:v>0.010000000000000018</x:v>
      </x:c>
    </x:row>
    <x:row r="226">
      <x:c r="A226" t="str">
        <x:v>C030</x:v>
      </x:c>
      <x:c r="B226" t="str">
        <x:v>P030</x:v>
      </x:c>
      <x:c r="C226" t="str">
        <x:v>DE_HE_2023</x:v>
      </x:c>
      <x:c r="D226" t="str">
        <x:v>AfD</x:v>
      </x:c>
      <x:c r="E226" s="24" t="n">
        <x:v>16</x:v>
      </x:c>
      <x:c r="F226" s="24" t="n">
        <x:v>18.4</x:v>
      </x:c>
      <x:c r="G226" s="24" t="n">
        <x:f>E226-F226</x:f>
        <x:v>-2.3999999999999986</x:v>
      </x:c>
      <x:c r="H226" s="24" t="n">
        <x:f>ABS(G226)</x:f>
        <x:v>2.3999999999999986</x:v>
      </x:c>
      <x:c r="I226" s="24" t="n">
        <x:f>G226^2</x:f>
        <x:v>5.759999999999994</x:v>
      </x:c>
    </x:row>
    <x:row r="227">
      <x:c r="A227" t="str">
        <x:v>C030</x:v>
      </x:c>
      <x:c r="B227" t="str">
        <x:v>P030</x:v>
      </x:c>
      <x:c r="C227" t="str">
        <x:v>DE_HE_2023</x:v>
      </x:c>
      <x:c r="D227" t="str">
        <x:v>Freie Wähler</x:v>
      </x:c>
      <x:c r="E227" s="24" t="n">
        <x:v>4</x:v>
      </x:c>
      <x:c r="F227" s="24" t="n">
        <x:v>3.5</x:v>
      </x:c>
      <x:c r="G227" s="24" t="n">
        <x:f>E227-F227</x:f>
        <x:v>0.5</x:v>
      </x:c>
      <x:c r="H227" s="24" t="n">
        <x:f>ABS(G227)</x:f>
        <x:v>0.5</x:v>
      </x:c>
      <x:c r="I227" s="24" t="n">
        <x:f>G227^2</x:f>
        <x:v>0.25</x:v>
      </x:c>
    </x:row>
    <x:row r="228">
      <x:c r="A228" t="str">
        <x:v>C030</x:v>
      </x:c>
      <x:c r="B228" t="str">
        <x:v>P030</x:v>
      </x:c>
      <x:c r="C228" t="str">
        <x:v>DE_HE_2023</x:v>
      </x:c>
      <x:c r="D228" t="str">
        <x:v>Sonstige</x:v>
      </x:c>
      <x:c r="E228" s="24" t="n">
        <x:v>6</x:v>
      </x:c>
      <x:c r="F228" s="24" t="n">
        <x:v>5.5</x:v>
      </x:c>
      <x:c r="G228" s="24" t="n">
        <x:f>E228-F228</x:f>
        <x:v>0.5</x:v>
      </x:c>
      <x:c r="H228" s="24" t="n">
        <x:f>ABS(G228)</x:f>
        <x:v>0.5</x:v>
      </x:c>
      <x:c r="I228" s="24" t="n">
        <x:f>G228^2</x:f>
        <x:v>0.25</x:v>
      </x:c>
    </x:row>
    <x:row r="229">
      <x:c r="A229" t="str">
        <x:v>C031</x:v>
      </x:c>
      <x:c r="B229" t="str">
        <x:v>P031</x:v>
      </x:c>
      <x:c r="C229" t="str">
        <x:v>DE_HE_2023</x:v>
      </x:c>
      <x:c r="D229" t="str">
        <x:v>CDU</x:v>
      </x:c>
      <x:c r="E229" s="24" t="n">
        <x:v>31</x:v>
      </x:c>
      <x:c r="F229" s="24" t="n">
        <x:v>34.6</x:v>
      </x:c>
      <x:c r="G229" s="24" t="n">
        <x:f>E229-F229</x:f>
        <x:v>-3.6000000000000014</x:v>
      </x:c>
      <x:c r="H229" s="24" t="n">
        <x:f>ABS(G229)</x:f>
        <x:v>3.6000000000000014</x:v>
      </x:c>
      <x:c r="I229" s="24" t="n">
        <x:f>G229^2</x:f>
        <x:v>12.96000000000001</x:v>
      </x:c>
    </x:row>
    <x:row r="230">
      <x:c r="A230" t="str">
        <x:v>C031</x:v>
      </x:c>
      <x:c r="B230" t="str">
        <x:v>P031</x:v>
      </x:c>
      <x:c r="C230" t="str">
        <x:v>DE_HE_2023</x:v>
      </x:c>
      <x:c r="D230" t="str">
        <x:v>SPD</x:v>
      </x:c>
      <x:c r="E230" s="24" t="n">
        <x:v>16</x:v>
      </x:c>
      <x:c r="F230" s="24" t="n">
        <x:v>15.1</x:v>
      </x:c>
      <x:c r="G230" s="24" t="n">
        <x:f>E230-F230</x:f>
        <x:v>0.9000000000000004</x:v>
      </x:c>
      <x:c r="H230" s="24" t="n">
        <x:f>ABS(G230)</x:f>
        <x:v>0.9000000000000004</x:v>
      </x:c>
      <x:c r="I230" s="24" t="n">
        <x:f>G230^2</x:f>
        <x:v>0.8100000000000006</x:v>
      </x:c>
    </x:row>
    <x:row r="231">
      <x:c r="A231" t="str">
        <x:v>C031</x:v>
      </x:c>
      <x:c r="B231" t="str">
        <x:v>P031</x:v>
      </x:c>
      <x:c r="C231" t="str">
        <x:v>DE_HE_2023</x:v>
      </x:c>
      <x:c r="D231" t="str">
        <x:v>GRÜNE</x:v>
      </x:c>
      <x:c r="E231" s="24" t="n">
        <x:v>16</x:v>
      </x:c>
      <x:c r="F231" s="24" t="n">
        <x:v>14.8</x:v>
      </x:c>
      <x:c r="G231" s="24" t="n">
        <x:f>E231-F231</x:f>
        <x:v>1.1999999999999993</x:v>
      </x:c>
      <x:c r="H231" s="24" t="n">
        <x:f>ABS(G231)</x:f>
        <x:v>1.1999999999999993</x:v>
      </x:c>
      <x:c r="I231" s="24" t="n">
        <x:f>G231^2</x:f>
        <x:v>1.4399999999999984</x:v>
      </x:c>
    </x:row>
    <x:row r="232">
      <x:c r="A232" t="str">
        <x:v>C031</x:v>
      </x:c>
      <x:c r="B232" t="str">
        <x:v>P031</x:v>
      </x:c>
      <x:c r="C232" t="str">
        <x:v>DE_HE_2023</x:v>
      </x:c>
      <x:c r="D232" t="str">
        <x:v>FDP</x:v>
      </x:c>
      <x:c r="E232" s="24" t="n">
        <x:v>5</x:v>
      </x:c>
      <x:c r="F232" s="24" t="n">
        <x:v>5</x:v>
      </x:c>
      <x:c r="G232" s="24" t="n">
        <x:f>E232-F232</x:f>
        <x:v>0</x:v>
      </x:c>
      <x:c r="H232" s="24" t="n">
        <x:f>ABS(G232)</x:f>
        <x:v>0</x:v>
      </x:c>
      <x:c r="I232" s="24" t="n">
        <x:f>G232^2</x:f>
        <x:v>0</x:v>
      </x:c>
    </x:row>
    <x:row r="233">
      <x:c r="A233" t="str">
        <x:v>C031</x:v>
      </x:c>
      <x:c r="B233" t="str">
        <x:v>P031</x:v>
      </x:c>
      <x:c r="C233" t="str">
        <x:v>DE_HE_2023</x:v>
      </x:c>
      <x:c r="D233" t="str">
        <x:v>LINKE</x:v>
      </x:c>
      <x:c r="E233" s="24" t="n">
        <x:v>4</x:v>
      </x:c>
      <x:c r="F233" s="24" t="n">
        <x:v>3.1</x:v>
      </x:c>
      <x:c r="G233" s="24" t="n">
        <x:f>E233-F233</x:f>
        <x:v>0.8999999999999999</x:v>
      </x:c>
      <x:c r="H233" s="24" t="n">
        <x:f>ABS(G233)</x:f>
        <x:v>0.8999999999999999</x:v>
      </x:c>
      <x:c r="I233" s="24" t="n">
        <x:f>G233^2</x:f>
        <x:v>0.8099999999999998</x:v>
      </x:c>
    </x:row>
    <x:row r="234">
      <x:c r="A234" t="str">
        <x:v>C031</x:v>
      </x:c>
      <x:c r="B234" t="str">
        <x:v>P031</x:v>
      </x:c>
      <x:c r="C234" t="str">
        <x:v>DE_HE_2023</x:v>
      </x:c>
      <x:c r="D234" t="str">
        <x:v>AfD</x:v>
      </x:c>
      <x:c r="E234" s="24" t="n">
        <x:v>16</x:v>
      </x:c>
      <x:c r="F234" s="24" t="n">
        <x:v>18.4</x:v>
      </x:c>
      <x:c r="G234" s="24" t="n">
        <x:f>E234-F234</x:f>
        <x:v>-2.3999999999999986</x:v>
      </x:c>
      <x:c r="H234" s="24" t="n">
        <x:f>ABS(G234)</x:f>
        <x:v>2.3999999999999986</x:v>
      </x:c>
      <x:c r="I234" s="24" t="n">
        <x:f>G234^2</x:f>
        <x:v>5.759999999999994</x:v>
      </x:c>
    </x:row>
    <x:row r="235">
      <x:c r="A235" t="str">
        <x:v>C031</x:v>
      </x:c>
      <x:c r="B235" t="str">
        <x:v>P031</x:v>
      </x:c>
      <x:c r="C235" t="str">
        <x:v>DE_HE_2023</x:v>
      </x:c>
      <x:c r="D235" t="str">
        <x:v>Freie Wähler</x:v>
      </x:c>
      <x:c r="E235" s="24" t="n">
        <x:v>5</x:v>
      </x:c>
      <x:c r="F235" s="24" t="n">
        <x:v>3.5</x:v>
      </x:c>
      <x:c r="G235" s="24" t="n">
        <x:f>E235-F235</x:f>
        <x:v>1.5</x:v>
      </x:c>
      <x:c r="H235" s="24" t="n">
        <x:f>ABS(G235)</x:f>
        <x:v>1.5</x:v>
      </x:c>
      <x:c r="I235" s="24" t="n">
        <x:f>G235^2</x:f>
        <x:v>2.25</x:v>
      </x:c>
    </x:row>
    <x:row r="236">
      <x:c r="A236" t="str">
        <x:v>C031</x:v>
      </x:c>
      <x:c r="B236" t="str">
        <x:v>P031</x:v>
      </x:c>
      <x:c r="C236" t="str">
        <x:v>DE_HE_2023</x:v>
      </x:c>
      <x:c r="D236" t="str">
        <x:v>Sonstige</x:v>
      </x:c>
      <x:c r="E236" s="24" t="n">
        <x:v>7</x:v>
      </x:c>
      <x:c r="F236" s="24" t="n">
        <x:v>5.5</x:v>
      </x:c>
      <x:c r="G236" s="24" t="n">
        <x:f>E236-F236</x:f>
        <x:v>1.5</x:v>
      </x:c>
      <x:c r="H236" s="24" t="n">
        <x:f>ABS(G236)</x:f>
        <x:v>1.5</x:v>
      </x:c>
      <x:c r="I236" s="24" t="n">
        <x:f>G236^2</x:f>
        <x:v>2.25</x:v>
      </x:c>
    </x:row>
    <x:row r="237">
      <x:c r="A237" t="str">
        <x:v>C032</x:v>
      </x:c>
      <x:c r="B237" t="str">
        <x:v>P032</x:v>
      </x:c>
      <x:c r="C237" t="str">
        <x:v>DE_HE_2023</x:v>
      </x:c>
      <x:c r="D237" t="str">
        <x:v>CDU</x:v>
      </x:c>
      <x:c r="E237" s="24" t="n">
        <x:v>31</x:v>
      </x:c>
      <x:c r="F237" s="24" t="n">
        <x:v>34.6</x:v>
      </x:c>
      <x:c r="G237" s="24" t="n">
        <x:f>E237-F237</x:f>
        <x:v>-3.6000000000000014</x:v>
      </x:c>
      <x:c r="H237" s="24" t="n">
        <x:f>ABS(G237)</x:f>
        <x:v>3.6000000000000014</x:v>
      </x:c>
      <x:c r="I237" s="24" t="n">
        <x:f>G237^2</x:f>
        <x:v>12.96000000000001</x:v>
      </x:c>
    </x:row>
    <x:row r="238">
      <x:c r="A238" t="str">
        <x:v>C032</x:v>
      </x:c>
      <x:c r="B238" t="str">
        <x:v>P032</x:v>
      </x:c>
      <x:c r="C238" t="str">
        <x:v>DE_HE_2023</x:v>
      </x:c>
      <x:c r="D238" t="str">
        <x:v>SPD</x:v>
      </x:c>
      <x:c r="E238" s="24" t="n">
        <x:v>16</x:v>
      </x:c>
      <x:c r="F238" s="24" t="n">
        <x:v>15.1</x:v>
      </x:c>
      <x:c r="G238" s="24" t="n">
        <x:f>E238-F238</x:f>
        <x:v>0.9000000000000004</x:v>
      </x:c>
      <x:c r="H238" s="24" t="n">
        <x:f>ABS(G238)</x:f>
        <x:v>0.9000000000000004</x:v>
      </x:c>
      <x:c r="I238" s="24" t="n">
        <x:f>G238^2</x:f>
        <x:v>0.8100000000000006</x:v>
      </x:c>
    </x:row>
    <x:row r="239">
      <x:c r="A239" t="str">
        <x:v>C032</x:v>
      </x:c>
      <x:c r="B239" t="str">
        <x:v>P032</x:v>
      </x:c>
      <x:c r="C239" t="str">
        <x:v>DE_HE_2023</x:v>
      </x:c>
      <x:c r="D239" t="str">
        <x:v>GRÜNE</x:v>
      </x:c>
      <x:c r="E239" s="24" t="n">
        <x:v>17</x:v>
      </x:c>
      <x:c r="F239" s="24" t="n">
        <x:v>14.8</x:v>
      </x:c>
      <x:c r="G239" s="24" t="n">
        <x:f>E239-F239</x:f>
        <x:v>2.1999999999999993</x:v>
      </x:c>
      <x:c r="H239" s="24" t="n">
        <x:f>ABS(G239)</x:f>
        <x:v>2.1999999999999993</x:v>
      </x:c>
      <x:c r="I239" s="24" t="n">
        <x:f>G239^2</x:f>
        <x:v>4.839999999999997</x:v>
      </x:c>
    </x:row>
    <x:row r="240">
      <x:c r="A240" t="str">
        <x:v>C032</x:v>
      </x:c>
      <x:c r="B240" t="str">
        <x:v>P032</x:v>
      </x:c>
      <x:c r="C240" t="str">
        <x:v>DE_HE_2023</x:v>
      </x:c>
      <x:c r="D240" t="str">
        <x:v>FDP</x:v>
      </x:c>
      <x:c r="E240" s="24" t="n">
        <x:v>6</x:v>
      </x:c>
      <x:c r="F240" s="24" t="n">
        <x:v>5</x:v>
      </x:c>
      <x:c r="G240" s="24" t="n">
        <x:f>E240-F240</x:f>
        <x:v>1</x:v>
      </x:c>
      <x:c r="H240" s="24" t="n">
        <x:f>ABS(G240)</x:f>
        <x:v>1</x:v>
      </x:c>
      <x:c r="I240" s="24" t="n">
        <x:f>G240^2</x:f>
        <x:v>1</x:v>
      </x:c>
    </x:row>
    <x:row r="241">
      <x:c r="A241" t="str">
        <x:v>C032</x:v>
      </x:c>
      <x:c r="B241" t="str">
        <x:v>P032</x:v>
      </x:c>
      <x:c r="C241" t="str">
        <x:v>DE_HE_2023</x:v>
      </x:c>
      <x:c r="D241" t="str">
        <x:v>LINKE</x:v>
      </x:c>
      <x:c r="E241" s="24" t="n">
        <x:v>4</x:v>
      </x:c>
      <x:c r="F241" s="24" t="n">
        <x:v>3.1</x:v>
      </x:c>
      <x:c r="G241" s="24" t="n">
        <x:f>E241-F241</x:f>
        <x:v>0.8999999999999999</x:v>
      </x:c>
      <x:c r="H241" s="24" t="n">
        <x:f>ABS(G241)</x:f>
        <x:v>0.8999999999999999</x:v>
      </x:c>
      <x:c r="I241" s="24" t="n">
        <x:f>G241^2</x:f>
        <x:v>0.8099999999999998</x:v>
      </x:c>
    </x:row>
    <x:row r="242">
      <x:c r="A242" t="str">
        <x:v>C032</x:v>
      </x:c>
      <x:c r="B242" t="str">
        <x:v>P032</x:v>
      </x:c>
      <x:c r="C242" t="str">
        <x:v>DE_HE_2023</x:v>
      </x:c>
      <x:c r="D242" t="str">
        <x:v>AfD</x:v>
      </x:c>
      <x:c r="E242" s="24" t="n">
        <x:v>15</x:v>
      </x:c>
      <x:c r="F242" s="24" t="n">
        <x:v>18.4</x:v>
      </x:c>
      <x:c r="G242" s="24" t="n">
        <x:f>E242-F242</x:f>
        <x:v>-3.3999999999999986</x:v>
      </x:c>
      <x:c r="H242" s="24" t="n">
        <x:f>ABS(G242)</x:f>
        <x:v>3.3999999999999986</x:v>
      </x:c>
      <x:c r="I242" s="24" t="n">
        <x:f>G242^2</x:f>
        <x:v>11.55999999999999</x:v>
      </x:c>
    </x:row>
    <x:row r="243">
      <x:c r="A243" t="str">
        <x:v>C032</x:v>
      </x:c>
      <x:c r="B243" t="str">
        <x:v>P032</x:v>
      </x:c>
      <x:c r="C243" t="str">
        <x:v>DE_HE_2023</x:v>
      </x:c>
      <x:c r="D243" t="str">
        <x:v>Freie Wähler</x:v>
      </x:c>
      <x:c r="E243" s="24" t="n">
        <x:v>4</x:v>
      </x:c>
      <x:c r="F243" s="24" t="n">
        <x:v>3.5</x:v>
      </x:c>
      <x:c r="G243" s="24" t="n">
        <x:f>E243-F243</x:f>
        <x:v>0.5</x:v>
      </x:c>
      <x:c r="H243" s="24" t="n">
        <x:f>ABS(G243)</x:f>
        <x:v>0.5</x:v>
      </x:c>
      <x:c r="I243" s="24" t="n">
        <x:f>G243^2</x:f>
        <x:v>0.25</x:v>
      </x:c>
    </x:row>
    <x:row r="244">
      <x:c r="A244" t="str">
        <x:v>C032</x:v>
      </x:c>
      <x:c r="B244" t="str">
        <x:v>P032</x:v>
      </x:c>
      <x:c r="C244" t="str">
        <x:v>DE_HE_2023</x:v>
      </x:c>
      <x:c r="D244" t="str">
        <x:v>Sonstige</x:v>
      </x:c>
      <x:c r="E244" s="24" t="n">
        <x:v>7</x:v>
      </x:c>
      <x:c r="F244" s="24" t="n">
        <x:v>5.5</x:v>
      </x:c>
      <x:c r="G244" s="24" t="n">
        <x:f>E244-F244</x:f>
        <x:v>1.5</x:v>
      </x:c>
      <x:c r="H244" s="24" t="n">
        <x:f>ABS(G244)</x:f>
        <x:v>1.5</x:v>
      </x:c>
      <x:c r="I244" s="24" t="n">
        <x:f>G244^2</x:f>
        <x:v>2.25</x:v>
      </x:c>
    </x:row>
    <x:row r="245">
      <x:c r="A245" t="str">
        <x:v>C033</x:v>
      </x:c>
      <x:c r="B245" t="str">
        <x:v>P033</x:v>
      </x:c>
      <x:c r="C245" t="str">
        <x:v>DE_HE_2023</x:v>
      </x:c>
      <x:c r="D245" t="str">
        <x:v>CDU</x:v>
      </x:c>
      <x:c r="E245" s="24" t="n">
        <x:v>31</x:v>
      </x:c>
      <x:c r="F245" s="24" t="n">
        <x:v>34.6</x:v>
      </x:c>
      <x:c r="G245" s="24" t="n">
        <x:f>E245-F245</x:f>
        <x:v>-3.6000000000000014</x:v>
      </x:c>
      <x:c r="H245" s="24" t="n">
        <x:f>ABS(G245)</x:f>
        <x:v>3.6000000000000014</x:v>
      </x:c>
      <x:c r="I245" s="24" t="n">
        <x:f>G245^2</x:f>
        <x:v>12.96000000000001</x:v>
      </x:c>
    </x:row>
    <x:row r="246">
      <x:c r="A246" t="str">
        <x:v>C033</x:v>
      </x:c>
      <x:c r="B246" t="str">
        <x:v>P033</x:v>
      </x:c>
      <x:c r="C246" t="str">
        <x:v>DE_HE_2023</x:v>
      </x:c>
      <x:c r="D246" t="str">
        <x:v>SPD</x:v>
      </x:c>
      <x:c r="E246" s="24" t="n">
        <x:v>16</x:v>
      </x:c>
      <x:c r="F246" s="24" t="n">
        <x:v>15.1</x:v>
      </x:c>
      <x:c r="G246" s="24" t="n">
        <x:f>E246-F246</x:f>
        <x:v>0.9000000000000004</x:v>
      </x:c>
      <x:c r="H246" s="24" t="n">
        <x:f>ABS(G246)</x:f>
        <x:v>0.9000000000000004</x:v>
      </x:c>
      <x:c r="I246" s="24" t="n">
        <x:f>G246^2</x:f>
        <x:v>0.8100000000000006</x:v>
      </x:c>
    </x:row>
    <x:row r="247">
      <x:c r="A247" t="str">
        <x:v>C033</x:v>
      </x:c>
      <x:c r="B247" t="str">
        <x:v>P033</x:v>
      </x:c>
      <x:c r="C247" t="str">
        <x:v>DE_HE_2023</x:v>
      </x:c>
      <x:c r="D247" t="str">
        <x:v>GRÜNE</x:v>
      </x:c>
      <x:c r="E247" s="24" t="n">
        <x:v>18</x:v>
      </x:c>
      <x:c r="F247" s="24" t="n">
        <x:v>14.8</x:v>
      </x:c>
      <x:c r="G247" s="24" t="n">
        <x:f>E247-F247</x:f>
        <x:v>3.1999999999999993</x:v>
      </x:c>
      <x:c r="H247" s="24" t="n">
        <x:f>ABS(G247)</x:f>
        <x:v>3.1999999999999993</x:v>
      </x:c>
      <x:c r="I247" s="24" t="n">
        <x:f>G247^2</x:f>
        <x:v>10.239999999999995</x:v>
      </x:c>
    </x:row>
    <x:row r="248">
      <x:c r="A248" t="str">
        <x:v>C033</x:v>
      </x:c>
      <x:c r="B248" t="str">
        <x:v>P033</x:v>
      </x:c>
      <x:c r="C248" t="str">
        <x:v>DE_HE_2023</x:v>
      </x:c>
      <x:c r="D248" t="str">
        <x:v>FDP</x:v>
      </x:c>
      <x:c r="E248" s="24" t="n">
        <x:v>6</x:v>
      </x:c>
      <x:c r="F248" s="24" t="n">
        <x:v>5</x:v>
      </x:c>
      <x:c r="G248" s="24" t="n">
        <x:f>E248-F248</x:f>
        <x:v>1</x:v>
      </x:c>
      <x:c r="H248" s="24" t="n">
        <x:f>ABS(G248)</x:f>
        <x:v>1</x:v>
      </x:c>
      <x:c r="I248" s="24" t="n">
        <x:f>G248^2</x:f>
        <x:v>1</x:v>
      </x:c>
    </x:row>
    <x:row r="249">
      <x:c r="A249" t="str">
        <x:v>C033</x:v>
      </x:c>
      <x:c r="B249" t="str">
        <x:v>P033</x:v>
      </x:c>
      <x:c r="C249" t="str">
        <x:v>DE_HE_2023</x:v>
      </x:c>
      <x:c r="D249" t="str">
        <x:v>LINKE</x:v>
      </x:c>
      <x:c r="E249" s="24" t="n">
        <x:v>4</x:v>
      </x:c>
      <x:c r="F249" s="24" t="n">
        <x:v>3.1</x:v>
      </x:c>
      <x:c r="G249" s="24" t="n">
        <x:f>E249-F249</x:f>
        <x:v>0.8999999999999999</x:v>
      </x:c>
      <x:c r="H249" s="24" t="n">
        <x:f>ABS(G249)</x:f>
        <x:v>0.8999999999999999</x:v>
      </x:c>
      <x:c r="I249" s="24" t="n">
        <x:f>G249^2</x:f>
        <x:v>0.8099999999999998</x:v>
      </x:c>
    </x:row>
    <x:row r="250">
      <x:c r="A250" t="str">
        <x:v>C033</x:v>
      </x:c>
      <x:c r="B250" t="str">
        <x:v>P033</x:v>
      </x:c>
      <x:c r="C250" t="str">
        <x:v>DE_HE_2023</x:v>
      </x:c>
      <x:c r="D250" t="str">
        <x:v>AfD</x:v>
      </x:c>
      <x:c r="E250" s="24" t="n">
        <x:v>15</x:v>
      </x:c>
      <x:c r="F250" s="24" t="n">
        <x:v>18.4</x:v>
      </x:c>
      <x:c r="G250" s="24" t="n">
        <x:f>E250-F250</x:f>
        <x:v>-3.3999999999999986</x:v>
      </x:c>
      <x:c r="H250" s="24" t="n">
        <x:f>ABS(G250)</x:f>
        <x:v>3.3999999999999986</x:v>
      </x:c>
      <x:c r="I250" s="24" t="n">
        <x:f>G250^2</x:f>
        <x:v>11.55999999999999</x:v>
      </x:c>
    </x:row>
    <x:row r="251">
      <x:c r="A251" t="str">
        <x:v>C033</x:v>
      </x:c>
      <x:c r="B251" t="str">
        <x:v>P033</x:v>
      </x:c>
      <x:c r="C251" t="str">
        <x:v>DE_HE_2023</x:v>
      </x:c>
      <x:c r="D251" t="str">
        <x:v>Sonstige inkl. FW</x:v>
      </x:c>
      <x:c r="E251" s="24" t="n">
        <x:v>10</x:v>
      </x:c>
      <x:c r="F251" s="24" t="n">
        <x:v>9</x:v>
      </x:c>
      <x:c r="G251" s="24" t="n">
        <x:f>E251-F251</x:f>
        <x:v>1</x:v>
      </x:c>
      <x:c r="H251" s="24" t="n">
        <x:f>ABS(G251)</x:f>
        <x:v>1</x:v>
      </x:c>
      <x:c r="I251" s="24" t="n">
        <x:f>G251^2</x:f>
        <x:v>1</x:v>
      </x:c>
    </x:row>
    <x:row r="252">
      <x:c r="A252" t="str">
        <x:v>C034</x:v>
      </x:c>
      <x:c r="B252" t="str">
        <x:v>P034</x:v>
      </x:c>
      <x:c r="C252" t="str">
        <x:v>DE_BY_2023</x:v>
      </x:c>
      <x:c r="D252" t="str">
        <x:v>CSU</x:v>
      </x:c>
      <x:c r="E252" s="24" t="n">
        <x:v>37</x:v>
      </x:c>
      <x:c r="F252" s="24" t="n">
        <x:v>37</x:v>
      </x:c>
      <x:c r="G252" s="24" t="n">
        <x:f>E252-F252</x:f>
        <x:v>0</x:v>
      </x:c>
      <x:c r="H252" s="24" t="n">
        <x:f>ABS(G252)</x:f>
        <x:v>0</x:v>
      </x:c>
      <x:c r="I252" s="24" t="n">
        <x:f>G252^2</x:f>
        <x:v>0</x:v>
      </x:c>
    </x:row>
    <x:row r="253">
      <x:c r="A253" t="str">
        <x:v>C034</x:v>
      </x:c>
      <x:c r="B253" t="str">
        <x:v>P034</x:v>
      </x:c>
      <x:c r="C253" t="str">
        <x:v>DE_BY_2023</x:v>
      </x:c>
      <x:c r="D253" t="str">
        <x:v>SPD</x:v>
      </x:c>
      <x:c r="E253" s="24" t="n">
        <x:v>9</x:v>
      </x:c>
      <x:c r="F253" s="24" t="n">
        <x:v>8.4</x:v>
      </x:c>
      <x:c r="G253" s="24" t="n">
        <x:f>E253-F253</x:f>
        <x:v>0.5999999999999996</x:v>
      </x:c>
      <x:c r="H253" s="24" t="n">
        <x:f>ABS(G253)</x:f>
        <x:v>0.5999999999999996</x:v>
      </x:c>
      <x:c r="I253" s="24" t="n">
        <x:f>G253^2</x:f>
        <x:v>0.3599999999999996</x:v>
      </x:c>
    </x:row>
    <x:row r="254">
      <x:c r="A254" t="str">
        <x:v>C034</x:v>
      </x:c>
      <x:c r="B254" t="str">
        <x:v>P034</x:v>
      </x:c>
      <x:c r="C254" t="str">
        <x:v>DE_BY_2023</x:v>
      </x:c>
      <x:c r="D254" t="str">
        <x:v>GRÜNE</x:v>
      </x:c>
      <x:c r="E254" s="24" t="n">
        <x:v>15</x:v>
      </x:c>
      <x:c r="F254" s="24" t="n">
        <x:v>14.4</x:v>
      </x:c>
      <x:c r="G254" s="24" t="n">
        <x:f>E254-F254</x:f>
        <x:v>0.5999999999999996</x:v>
      </x:c>
      <x:c r="H254" s="24" t="n">
        <x:f>ABS(G254)</x:f>
        <x:v>0.5999999999999996</x:v>
      </x:c>
      <x:c r="I254" s="24" t="n">
        <x:f>G254^2</x:f>
        <x:v>0.3599999999999996</x:v>
      </x:c>
    </x:row>
    <x:row r="255">
      <x:c r="A255" t="str">
        <x:v>C034</x:v>
      </x:c>
      <x:c r="B255" t="str">
        <x:v>P034</x:v>
      </x:c>
      <x:c r="C255" t="str">
        <x:v>DE_BY_2023</x:v>
      </x:c>
      <x:c r="D255" t="str">
        <x:v>FDP</x:v>
      </x:c>
      <x:c r="E255" s="24" t="n">
        <x:v>4</x:v>
      </x:c>
      <x:c r="F255" s="24" t="n">
        <x:v>3</x:v>
      </x:c>
      <x:c r="G255" s="24" t="n">
        <x:f>E255-F255</x:f>
        <x:v>1</x:v>
      </x:c>
      <x:c r="H255" s="24" t="n">
        <x:f>ABS(G255)</x:f>
        <x:v>1</x:v>
      </x:c>
      <x:c r="I255" s="24" t="n">
        <x:f>G255^2</x:f>
        <x:v>1</x:v>
      </x:c>
    </x:row>
    <x:row r="256">
      <x:c r="A256" t="str">
        <x:v>C034</x:v>
      </x:c>
      <x:c r="B256" t="str">
        <x:v>P034</x:v>
      </x:c>
      <x:c r="C256" t="str">
        <x:v>DE_BY_2023</x:v>
      </x:c>
      <x:c r="D256" t="str">
        <x:v>LINKE</x:v>
      </x:c>
      <x:c r="E256" s="24" t="n">
        <x:v>1</x:v>
      </x:c>
      <x:c r="F256" s="24" t="n">
        <x:v>1.5</x:v>
      </x:c>
      <x:c r="G256" s="24" t="n">
        <x:f>E256-F256</x:f>
        <x:v>-0.5</x:v>
      </x:c>
      <x:c r="H256" s="24" t="n">
        <x:f>ABS(G256)</x:f>
        <x:v>0.5</x:v>
      </x:c>
      <x:c r="I256" s="24" t="n">
        <x:f>G256^2</x:f>
        <x:v>0.25</x:v>
      </x:c>
    </x:row>
    <x:row r="257">
      <x:c r="A257" t="str">
        <x:v>C034</x:v>
      </x:c>
      <x:c r="B257" t="str">
        <x:v>P034</x:v>
      </x:c>
      <x:c r="C257" t="str">
        <x:v>DE_BY_2023</x:v>
      </x:c>
      <x:c r="D257" t="str">
        <x:v>Freie Wähler</x:v>
      </x:c>
      <x:c r="E257" s="24" t="n">
        <x:v>15</x:v>
      </x:c>
      <x:c r="F257" s="24" t="n">
        <x:v>15.8</x:v>
      </x:c>
      <x:c r="G257" s="24" t="n">
        <x:f>E257-F257</x:f>
        <x:v>-0.8000000000000007</x:v>
      </x:c>
      <x:c r="H257" s="24" t="n">
        <x:f>ABS(G257)</x:f>
        <x:v>0.8000000000000007</x:v>
      </x:c>
      <x:c r="I257" s="24" t="n">
        <x:f>G257^2</x:f>
        <x:v>0.6400000000000011</x:v>
      </x:c>
    </x:row>
    <x:row r="258">
      <x:c r="A258" t="str">
        <x:v>C034</x:v>
      </x:c>
      <x:c r="B258" t="str">
        <x:v>P034</x:v>
      </x:c>
      <x:c r="C258" t="str">
        <x:v>DE_BY_2023</x:v>
      </x:c>
      <x:c r="D258" t="str">
        <x:v>AfD</x:v>
      </x:c>
      <x:c r="E258" s="24" t="n">
        <x:v>14</x:v>
      </x:c>
      <x:c r="F258" s="24" t="n">
        <x:v>14.6</x:v>
      </x:c>
      <x:c r="G258" s="24" t="n">
        <x:f>E258-F258</x:f>
        <x:v>-0.5999999999999996</x:v>
      </x:c>
      <x:c r="H258" s="24" t="n">
        <x:f>ABS(G258)</x:f>
        <x:v>0.5999999999999996</x:v>
      </x:c>
      <x:c r="I258" s="24" t="n">
        <x:f>G258^2</x:f>
        <x:v>0.3599999999999996</x:v>
      </x:c>
    </x:row>
    <x:row r="259">
      <x:c r="A259" t="str">
        <x:v>C034</x:v>
      </x:c>
      <x:c r="B259" t="str">
        <x:v>P034</x:v>
      </x:c>
      <x:c r="C259" t="str">
        <x:v>DE_BY_2023</x:v>
      </x:c>
      <x:c r="D259" t="str">
        <x:v>Sonstige</x:v>
      </x:c>
      <x:c r="E259" s="24" t="n">
        <x:v>5</x:v>
      </x:c>
      <x:c r="F259" s="24" t="n">
        <x:v>5.2</x:v>
      </x:c>
      <x:c r="G259" s="24" t="n">
        <x:f>E259-F259</x:f>
        <x:v>-0.20000000000000018</x:v>
      </x:c>
      <x:c r="H259" s="24" t="n">
        <x:f>ABS(G259)</x:f>
        <x:v>0.20000000000000018</x:v>
      </x:c>
      <x:c r="I259" s="24" t="n">
        <x:f>G259^2</x:f>
        <x:v>0.04000000000000007</x:v>
      </x:c>
    </x:row>
    <x:row r="260">
      <x:c r="A260" t="str">
        <x:v>C035</x:v>
      </x:c>
      <x:c r="B260" t="str">
        <x:v>P035</x:v>
      </x:c>
      <x:c r="C260" t="str">
        <x:v>DE_BY_2023</x:v>
      </x:c>
      <x:c r="D260" t="str">
        <x:v>CSU</x:v>
      </x:c>
      <x:c r="E260" s="24" t="n">
        <x:v>36</x:v>
      </x:c>
      <x:c r="F260" s="24" t="n">
        <x:v>37</x:v>
      </x:c>
      <x:c r="G260" s="24" t="n">
        <x:f>E260-F260</x:f>
        <x:v>-1</x:v>
      </x:c>
      <x:c r="H260" s="24" t="n">
        <x:f>ABS(G260)</x:f>
        <x:v>1</x:v>
      </x:c>
      <x:c r="I260" s="24" t="n">
        <x:f>G260^2</x:f>
        <x:v>1</x:v>
      </x:c>
    </x:row>
    <x:row r="261">
      <x:c r="A261" t="str">
        <x:v>C035</x:v>
      </x:c>
      <x:c r="B261" t="str">
        <x:v>P035</x:v>
      </x:c>
      <x:c r="C261" t="str">
        <x:v>DE_BY_2023</x:v>
      </x:c>
      <x:c r="D261" t="str">
        <x:v>SPD</x:v>
      </x:c>
      <x:c r="E261" s="24" t="n">
        <x:v>9</x:v>
      </x:c>
      <x:c r="F261" s="24" t="n">
        <x:v>8.4</x:v>
      </x:c>
      <x:c r="G261" s="24" t="n">
        <x:f>E261-F261</x:f>
        <x:v>0.5999999999999996</x:v>
      </x:c>
      <x:c r="H261" s="24" t="n">
        <x:f>ABS(G261)</x:f>
        <x:v>0.5999999999999996</x:v>
      </x:c>
      <x:c r="I261" s="24" t="n">
        <x:f>G261^2</x:f>
        <x:v>0.3599999999999996</x:v>
      </x:c>
    </x:row>
    <x:row r="262">
      <x:c r="A262" t="str">
        <x:v>C035</x:v>
      </x:c>
      <x:c r="B262" t="str">
        <x:v>P035</x:v>
      </x:c>
      <x:c r="C262" t="str">
        <x:v>DE_BY_2023</x:v>
      </x:c>
      <x:c r="D262" t="str">
        <x:v>GRÜNE</x:v>
      </x:c>
      <x:c r="E262" s="24" t="n">
        <x:v>15</x:v>
      </x:c>
      <x:c r="F262" s="24" t="n">
        <x:v>14.4</x:v>
      </x:c>
      <x:c r="G262" s="24" t="n">
        <x:f>E262-F262</x:f>
        <x:v>0.5999999999999996</x:v>
      </x:c>
      <x:c r="H262" s="24" t="n">
        <x:f>ABS(G262)</x:f>
        <x:v>0.5999999999999996</x:v>
      </x:c>
      <x:c r="I262" s="24" t="n">
        <x:f>G262^2</x:f>
        <x:v>0.3599999999999996</x:v>
      </x:c>
    </x:row>
    <x:row r="263">
      <x:c r="A263" t="str">
        <x:v>C035</x:v>
      </x:c>
      <x:c r="B263" t="str">
        <x:v>P035</x:v>
      </x:c>
      <x:c r="C263" t="str">
        <x:v>DE_BY_2023</x:v>
      </x:c>
      <x:c r="D263" t="str">
        <x:v>FDP</x:v>
      </x:c>
      <x:c r="E263" s="24" t="n">
        <x:v>4</x:v>
      </x:c>
      <x:c r="F263" s="24" t="n">
        <x:v>3</x:v>
      </x:c>
      <x:c r="G263" s="24" t="n">
        <x:f>E263-F263</x:f>
        <x:v>1</x:v>
      </x:c>
      <x:c r="H263" s="24" t="n">
        <x:f>ABS(G263)</x:f>
        <x:v>1</x:v>
      </x:c>
      <x:c r="I263" s="24" t="n">
        <x:f>G263^2</x:f>
        <x:v>1</x:v>
      </x:c>
    </x:row>
    <x:row r="264">
      <x:c r="A264" t="str">
        <x:v>C035</x:v>
      </x:c>
      <x:c r="B264" t="str">
        <x:v>P035</x:v>
      </x:c>
      <x:c r="C264" t="str">
        <x:v>DE_BY_2023</x:v>
      </x:c>
      <x:c r="D264" t="str">
        <x:v>LINKE</x:v>
      </x:c>
      <x:c r="E264" s="24" t="n">
        <x:v>2</x:v>
      </x:c>
      <x:c r="F264" s="24" t="n">
        <x:v>1.5</x:v>
      </x:c>
      <x:c r="G264" s="24" t="n">
        <x:f>E264-F264</x:f>
        <x:v>0.5</x:v>
      </x:c>
      <x:c r="H264" s="24" t="n">
        <x:f>ABS(G264)</x:f>
        <x:v>0.5</x:v>
      </x:c>
      <x:c r="I264" s="24" t="n">
        <x:f>G264^2</x:f>
        <x:v>0.25</x:v>
      </x:c>
    </x:row>
    <x:row r="265">
      <x:c r="A265" t="str">
        <x:v>C035</x:v>
      </x:c>
      <x:c r="B265" t="str">
        <x:v>P035</x:v>
      </x:c>
      <x:c r="C265" t="str">
        <x:v>DE_BY_2023</x:v>
      </x:c>
      <x:c r="D265" t="str">
        <x:v>Freie Wähler</x:v>
      </x:c>
      <x:c r="E265" s="24" t="n">
        <x:v>15</x:v>
      </x:c>
      <x:c r="F265" s="24" t="n">
        <x:v>15.8</x:v>
      </x:c>
      <x:c r="G265" s="24" t="n">
        <x:f>E265-F265</x:f>
        <x:v>-0.8000000000000007</x:v>
      </x:c>
      <x:c r="H265" s="24" t="n">
        <x:f>ABS(G265)</x:f>
        <x:v>0.8000000000000007</x:v>
      </x:c>
      <x:c r="I265" s="24" t="n">
        <x:f>G265^2</x:f>
        <x:v>0.6400000000000011</x:v>
      </x:c>
    </x:row>
    <x:row r="266">
      <x:c r="A266" t="str">
        <x:v>C035</x:v>
      </x:c>
      <x:c r="B266" t="str">
        <x:v>P035</x:v>
      </x:c>
      <x:c r="C266" t="str">
        <x:v>DE_BY_2023</x:v>
      </x:c>
      <x:c r="D266" t="str">
        <x:v>AfD</x:v>
      </x:c>
      <x:c r="E266" s="24" t="n">
        <x:v>14</x:v>
      </x:c>
      <x:c r="F266" s="24" t="n">
        <x:v>14.6</x:v>
      </x:c>
      <x:c r="G266" s="24" t="n">
        <x:f>E266-F266</x:f>
        <x:v>-0.5999999999999996</x:v>
      </x:c>
      <x:c r="H266" s="24" t="n">
        <x:f>ABS(G266)</x:f>
        <x:v>0.5999999999999996</x:v>
      </x:c>
      <x:c r="I266" s="24" t="n">
        <x:f>G266^2</x:f>
        <x:v>0.3599999999999996</x:v>
      </x:c>
    </x:row>
    <x:row r="267">
      <x:c r="A267" t="str">
        <x:v>C035</x:v>
      </x:c>
      <x:c r="B267" t="str">
        <x:v>P035</x:v>
      </x:c>
      <x:c r="C267" t="str">
        <x:v>DE_BY_2023</x:v>
      </x:c>
      <x:c r="D267" t="str">
        <x:v>Sonstige</x:v>
      </x:c>
      <x:c r="E267" s="24" t="n">
        <x:v>5</x:v>
      </x:c>
      <x:c r="F267" s="24" t="n">
        <x:v>5.2</x:v>
      </x:c>
      <x:c r="G267" s="24" t="n">
        <x:f>E267-F267</x:f>
        <x:v>-0.20000000000000018</x:v>
      </x:c>
      <x:c r="H267" s="24" t="n">
        <x:f>ABS(G267)</x:f>
        <x:v>0.20000000000000018</x:v>
      </x:c>
      <x:c r="I267" s="24" t="n">
        <x:f>G267^2</x:f>
        <x:v>0.04000000000000007</x:v>
      </x:c>
    </x:row>
    <x:row r="268">
      <x:c r="A268" t="str">
        <x:v>C036</x:v>
      </x:c>
      <x:c r="B268" t="str">
        <x:v>P036</x:v>
      </x:c>
      <x:c r="C268" t="str">
        <x:v>DE_BY_2023</x:v>
      </x:c>
      <x:c r="D268" t="str">
        <x:v>CSU</x:v>
      </x:c>
      <x:c r="E268" s="24" t="n">
        <x:v>36</x:v>
      </x:c>
      <x:c r="F268" s="24" t="n">
        <x:v>37</x:v>
      </x:c>
      <x:c r="G268" s="24" t="n">
        <x:f>E268-F268</x:f>
        <x:v>-1</x:v>
      </x:c>
      <x:c r="H268" s="24" t="n">
        <x:f>ABS(G268)</x:f>
        <x:v>1</x:v>
      </x:c>
      <x:c r="I268" s="24" t="n">
        <x:f>G268^2</x:f>
        <x:v>1</x:v>
      </x:c>
    </x:row>
    <x:row r="269">
      <x:c r="A269" t="str">
        <x:v>C036</x:v>
      </x:c>
      <x:c r="B269" t="str">
        <x:v>P036</x:v>
      </x:c>
      <x:c r="C269" t="str">
        <x:v>DE_BY_2023</x:v>
      </x:c>
      <x:c r="D269" t="str">
        <x:v>SPD</x:v>
      </x:c>
      <x:c r="E269" s="24" t="n">
        <x:v>9</x:v>
      </x:c>
      <x:c r="F269" s="24" t="n">
        <x:v>8.4</x:v>
      </x:c>
      <x:c r="G269" s="24" t="n">
        <x:f>E269-F269</x:f>
        <x:v>0.5999999999999996</x:v>
      </x:c>
      <x:c r="H269" s="24" t="n">
        <x:f>ABS(G269)</x:f>
        <x:v>0.5999999999999996</x:v>
      </x:c>
      <x:c r="I269" s="24" t="n">
        <x:f>G269^2</x:f>
        <x:v>0.3599999999999996</x:v>
      </x:c>
    </x:row>
    <x:row r="270">
      <x:c r="A270" t="str">
        <x:v>C036</x:v>
      </x:c>
      <x:c r="B270" t="str">
        <x:v>P036</x:v>
      </x:c>
      <x:c r="C270" t="str">
        <x:v>DE_BY_2023</x:v>
      </x:c>
      <x:c r="D270" t="str">
        <x:v>GRÜNE</x:v>
      </x:c>
      <x:c r="E270" s="24" t="n">
        <x:v>14</x:v>
      </x:c>
      <x:c r="F270" s="24" t="n">
        <x:v>14.4</x:v>
      </x:c>
      <x:c r="G270" s="24" t="n">
        <x:f>E270-F270</x:f>
        <x:v>-0.40000000000000036</x:v>
      </x:c>
      <x:c r="H270" s="24" t="n">
        <x:f>ABS(G270)</x:f>
        <x:v>0.40000000000000036</x:v>
      </x:c>
      <x:c r="I270" s="24" t="n">
        <x:f>G270^2</x:f>
        <x:v>0.16000000000000028</x:v>
      </x:c>
    </x:row>
    <x:row r="271">
      <x:c r="A271" t="str">
        <x:v>C036</x:v>
      </x:c>
      <x:c r="B271" t="str">
        <x:v>P036</x:v>
      </x:c>
      <x:c r="C271" t="str">
        <x:v>DE_BY_2023</x:v>
      </x:c>
      <x:c r="D271" t="str">
        <x:v>FDP</x:v>
      </x:c>
      <x:c r="E271" s="24" t="n">
        <x:v>3</x:v>
      </x:c>
      <x:c r="F271" s="24" t="n">
        <x:v>3</x:v>
      </x:c>
      <x:c r="G271" s="24" t="n">
        <x:f>E271-F271</x:f>
        <x:v>0</x:v>
      </x:c>
      <x:c r="H271" s="24" t="n">
        <x:f>ABS(G271)</x:f>
        <x:v>0</x:v>
      </x:c>
      <x:c r="I271" s="24" t="n">
        <x:f>G271^2</x:f>
        <x:v>0</x:v>
      </x:c>
    </x:row>
    <x:row r="272">
      <x:c r="A272" t="str">
        <x:v>C036</x:v>
      </x:c>
      <x:c r="B272" t="str">
        <x:v>P036</x:v>
      </x:c>
      <x:c r="C272" t="str">
        <x:v>DE_BY_2023</x:v>
      </x:c>
      <x:c r="D272" t="str">
        <x:v>LINKE</x:v>
      </x:c>
      <x:c r="E272" s="24" t="n">
        <x:v>1</x:v>
      </x:c>
      <x:c r="F272" s="24" t="n">
        <x:v>1.5</x:v>
      </x:c>
      <x:c r="G272" s="24" t="n">
        <x:f>E272-F272</x:f>
        <x:v>-0.5</x:v>
      </x:c>
      <x:c r="H272" s="24" t="n">
        <x:f>ABS(G272)</x:f>
        <x:v>0.5</x:v>
      </x:c>
      <x:c r="I272" s="24" t="n">
        <x:f>G272^2</x:f>
        <x:v>0.25</x:v>
      </x:c>
    </x:row>
    <x:row r="273">
      <x:c r="A273" t="str">
        <x:v>C036</x:v>
      </x:c>
      <x:c r="B273" t="str">
        <x:v>P036</x:v>
      </x:c>
      <x:c r="C273" t="str">
        <x:v>DE_BY_2023</x:v>
      </x:c>
      <x:c r="D273" t="str">
        <x:v>Freie Wähler</x:v>
      </x:c>
      <x:c r="E273" s="24" t="n">
        <x:v>17</x:v>
      </x:c>
      <x:c r="F273" s="24" t="n">
        <x:v>15.8</x:v>
      </x:c>
      <x:c r="G273" s="24" t="n">
        <x:f>E273-F273</x:f>
        <x:v>1.1999999999999993</x:v>
      </x:c>
      <x:c r="H273" s="24" t="n">
        <x:f>ABS(G273)</x:f>
        <x:v>1.1999999999999993</x:v>
      </x:c>
      <x:c r="I273" s="24" t="n">
        <x:f>G273^2</x:f>
        <x:v>1.4399999999999984</x:v>
      </x:c>
    </x:row>
    <x:row r="274">
      <x:c r="A274" t="str">
        <x:v>C036</x:v>
      </x:c>
      <x:c r="B274" t="str">
        <x:v>P036</x:v>
      </x:c>
      <x:c r="C274" t="str">
        <x:v>DE_BY_2023</x:v>
      </x:c>
      <x:c r="D274" t="str">
        <x:v>AfD</x:v>
      </x:c>
      <x:c r="E274" s="24" t="n">
        <x:v>14</x:v>
      </x:c>
      <x:c r="F274" s="24" t="n">
        <x:v>14.6</x:v>
      </x:c>
      <x:c r="G274" s="24" t="n">
        <x:f>E274-F274</x:f>
        <x:v>-0.5999999999999996</x:v>
      </x:c>
      <x:c r="H274" s="24" t="n">
        <x:f>ABS(G274)</x:f>
        <x:v>0.5999999999999996</x:v>
      </x:c>
      <x:c r="I274" s="24" t="n">
        <x:f>G274^2</x:f>
        <x:v>0.3599999999999996</x:v>
      </x:c>
    </x:row>
    <x:row r="275">
      <x:c r="A275" t="str">
        <x:v>C036</x:v>
      </x:c>
      <x:c r="B275" t="str">
        <x:v>P036</x:v>
      </x:c>
      <x:c r="C275" t="str">
        <x:v>DE_BY_2023</x:v>
      </x:c>
      <x:c r="D275" t="str">
        <x:v>Sonstige</x:v>
      </x:c>
      <x:c r="E275" s="24" t="n">
        <x:v>6</x:v>
      </x:c>
      <x:c r="F275" s="24" t="n">
        <x:v>5.2</x:v>
      </x:c>
      <x:c r="G275" s="24" t="n">
        <x:f>E275-F275</x:f>
        <x:v>0.7999999999999998</x:v>
      </x:c>
      <x:c r="H275" s="24" t="n">
        <x:f>ABS(G275)</x:f>
        <x:v>0.7999999999999998</x:v>
      </x:c>
      <x:c r="I275" s="24" t="n">
        <x:f>G275^2</x:f>
        <x:v>0.6399999999999997</x:v>
      </x:c>
    </x:row>
    <x:row r="276">
      <x:c r="A276" t="str">
        <x:v>C037</x:v>
      </x:c>
      <x:c r="B276" t="str">
        <x:v>P037</x:v>
      </x:c>
      <x:c r="C276" t="str">
        <x:v>DE_BY_2023</x:v>
      </x:c>
      <x:c r="D276" t="str">
        <x:v>CSU</x:v>
      </x:c>
      <x:c r="E276" s="24" t="n">
        <x:v>36</x:v>
      </x:c>
      <x:c r="F276" s="24" t="n">
        <x:v>37</x:v>
      </x:c>
      <x:c r="G276" s="24" t="n">
        <x:f>E276-F276</x:f>
        <x:v>-1</x:v>
      </x:c>
      <x:c r="H276" s="24" t="n">
        <x:f>ABS(G276)</x:f>
        <x:v>1</x:v>
      </x:c>
      <x:c r="I276" s="24" t="n">
        <x:f>G276^2</x:f>
        <x:v>1</x:v>
      </x:c>
    </x:row>
    <x:row r="277">
      <x:c r="A277" t="str">
        <x:v>C037</x:v>
      </x:c>
      <x:c r="B277" t="str">
        <x:v>P037</x:v>
      </x:c>
      <x:c r="C277" t="str">
        <x:v>DE_BY_2023</x:v>
      </x:c>
      <x:c r="D277" t="str">
        <x:v>SPD</x:v>
      </x:c>
      <x:c r="E277" s="24" t="n">
        <x:v>9</x:v>
      </x:c>
      <x:c r="F277" s="24" t="n">
        <x:v>8.4</x:v>
      </x:c>
      <x:c r="G277" s="24" t="n">
        <x:f>E277-F277</x:f>
        <x:v>0.5999999999999996</x:v>
      </x:c>
      <x:c r="H277" s="24" t="n">
        <x:f>ABS(G277)</x:f>
        <x:v>0.5999999999999996</x:v>
      </x:c>
      <x:c r="I277" s="24" t="n">
        <x:f>G277^2</x:f>
        <x:v>0.3599999999999996</x:v>
      </x:c>
    </x:row>
    <x:row r="278">
      <x:c r="A278" t="str">
        <x:v>C037</x:v>
      </x:c>
      <x:c r="B278" t="str">
        <x:v>P037</x:v>
      </x:c>
      <x:c r="C278" t="str">
        <x:v>DE_BY_2023</x:v>
      </x:c>
      <x:c r="D278" t="str">
        <x:v>GRÜNE</x:v>
      </x:c>
      <x:c r="E278" s="24" t="n">
        <x:v>15</x:v>
      </x:c>
      <x:c r="F278" s="24" t="n">
        <x:v>14.4</x:v>
      </x:c>
      <x:c r="G278" s="24" t="n">
        <x:f>E278-F278</x:f>
        <x:v>0.5999999999999996</x:v>
      </x:c>
      <x:c r="H278" s="24" t="n">
        <x:f>ABS(G278)</x:f>
        <x:v>0.5999999999999996</x:v>
      </x:c>
      <x:c r="I278" s="24" t="n">
        <x:f>G278^2</x:f>
        <x:v>0.3599999999999996</x:v>
      </x:c>
    </x:row>
    <x:row r="279">
      <x:c r="A279" t="str">
        <x:v>C037</x:v>
      </x:c>
      <x:c r="B279" t="str">
        <x:v>P037</x:v>
      </x:c>
      <x:c r="C279" t="str">
        <x:v>DE_BY_2023</x:v>
      </x:c>
      <x:c r="D279" t="str">
        <x:v>FDP</x:v>
      </x:c>
      <x:c r="E279" s="24" t="n">
        <x:v>4</x:v>
      </x:c>
      <x:c r="F279" s="24" t="n">
        <x:v>3</x:v>
      </x:c>
      <x:c r="G279" s="24" t="n">
        <x:f>E279-F279</x:f>
        <x:v>1</x:v>
      </x:c>
      <x:c r="H279" s="24" t="n">
        <x:f>ABS(G279)</x:f>
        <x:v>1</x:v>
      </x:c>
      <x:c r="I279" s="24" t="n">
        <x:f>G279^2</x:f>
        <x:v>1</x:v>
      </x:c>
    </x:row>
    <x:row r="280">
      <x:c r="A280" t="str">
        <x:v>C037</x:v>
      </x:c>
      <x:c r="B280" t="str">
        <x:v>P037</x:v>
      </x:c>
      <x:c r="C280" t="str">
        <x:v>DE_BY_2023</x:v>
      </x:c>
      <x:c r="D280" t="str">
        <x:v>Freie Wähler</x:v>
      </x:c>
      <x:c r="E280" s="24" t="n">
        <x:v>16</x:v>
      </x:c>
      <x:c r="F280" s="24" t="n">
        <x:v>15.8</x:v>
      </x:c>
      <x:c r="G280" s="24" t="n">
        <x:f>E280-F280</x:f>
        <x:v>0.1999999999999993</x:v>
      </x:c>
      <x:c r="H280" s="24" t="n">
        <x:f>ABS(G280)</x:f>
        <x:v>0.1999999999999993</x:v>
      </x:c>
      <x:c r="I280" s="24" t="n">
        <x:f>G280^2</x:f>
        <x:v>0.039999999999999716</x:v>
      </x:c>
    </x:row>
    <x:row r="281">
      <x:c r="A281" t="str">
        <x:v>C037</x:v>
      </x:c>
      <x:c r="B281" t="str">
        <x:v>P037</x:v>
      </x:c>
      <x:c r="C281" t="str">
        <x:v>DE_BY_2023</x:v>
      </x:c>
      <x:c r="D281" t="str">
        <x:v>AfD</x:v>
      </x:c>
      <x:c r="E281" s="24" t="n">
        <x:v>14</x:v>
      </x:c>
      <x:c r="F281" s="24" t="n">
        <x:v>14.6</x:v>
      </x:c>
      <x:c r="G281" s="24" t="n">
        <x:f>E281-F281</x:f>
        <x:v>-0.5999999999999996</x:v>
      </x:c>
      <x:c r="H281" s="24" t="n">
        <x:f>ABS(G281)</x:f>
        <x:v>0.5999999999999996</x:v>
      </x:c>
      <x:c r="I281" s="24" t="n">
        <x:f>G281^2</x:f>
        <x:v>0.3599999999999996</x:v>
      </x:c>
    </x:row>
    <x:row r="282">
      <x:c r="A282" t="str">
        <x:v>C037</x:v>
      </x:c>
      <x:c r="B282" t="str">
        <x:v>P037</x:v>
      </x:c>
      <x:c r="C282" t="str">
        <x:v>DE_BY_2023</x:v>
      </x:c>
      <x:c r="D282" t="str">
        <x:v>Sonstige inkl. LINKE</x:v>
      </x:c>
      <x:c r="E282" s="24" t="n">
        <x:v>6</x:v>
      </x:c>
      <x:c r="F282" s="24" t="n">
        <x:v>6.7</x:v>
      </x:c>
      <x:c r="G282" s="24" t="n">
        <x:f>E282-F282</x:f>
        <x:v>-0.7000000000000002</x:v>
      </x:c>
      <x:c r="H282" s="24" t="n">
        <x:f>ABS(G282)</x:f>
        <x:v>0.7000000000000002</x:v>
      </x:c>
      <x:c r="I282" s="24" t="n">
        <x:f>G282^2</x:f>
        <x:v>0.49000000000000027</x:v>
      </x:c>
    </x:row>
    <x:row r="283">
      <x:c r="A283" t="str">
        <x:v>C038</x:v>
      </x:c>
      <x:c r="B283" t="str">
        <x:v>P038</x:v>
      </x:c>
      <x:c r="C283" t="str">
        <x:v>DE_BY_2023</x:v>
      </x:c>
      <x:c r="D283" t="str">
        <x:v>CSU</x:v>
      </x:c>
      <x:c r="E283" s="24" t="n">
        <x:v>37</x:v>
      </x:c>
      <x:c r="F283" s="24" t="n">
        <x:v>37</x:v>
      </x:c>
      <x:c r="G283" s="24" t="n">
        <x:f>E283-F283</x:f>
        <x:v>0</x:v>
      </x:c>
      <x:c r="H283" s="24" t="n">
        <x:f>ABS(G283)</x:f>
        <x:v>0</x:v>
      </x:c>
      <x:c r="I283" s="24" t="n">
        <x:f>G283^2</x:f>
        <x:v>0</x:v>
      </x:c>
    </x:row>
    <x:row r="284">
      <x:c r="A284" t="str">
        <x:v>C038</x:v>
      </x:c>
      <x:c r="B284" t="str">
        <x:v>P038</x:v>
      </x:c>
      <x:c r="C284" t="str">
        <x:v>DE_BY_2023</x:v>
      </x:c>
      <x:c r="D284" t="str">
        <x:v>SPD</x:v>
      </x:c>
      <x:c r="E284" s="24" t="n">
        <x:v>9</x:v>
      </x:c>
      <x:c r="F284" s="24" t="n">
        <x:v>8.4</x:v>
      </x:c>
      <x:c r="G284" s="24" t="n">
        <x:f>E284-F284</x:f>
        <x:v>0.5999999999999996</x:v>
      </x:c>
      <x:c r="H284" s="24" t="n">
        <x:f>ABS(G284)</x:f>
        <x:v>0.5999999999999996</x:v>
      </x:c>
      <x:c r="I284" s="24" t="n">
        <x:f>G284^2</x:f>
        <x:v>0.3599999999999996</x:v>
      </x:c>
    </x:row>
    <x:row r="285">
      <x:c r="A285" t="str">
        <x:v>C038</x:v>
      </x:c>
      <x:c r="B285" t="str">
        <x:v>P038</x:v>
      </x:c>
      <x:c r="C285" t="str">
        <x:v>DE_BY_2023</x:v>
      </x:c>
      <x:c r="D285" t="str">
        <x:v>GRÜNE</x:v>
      </x:c>
      <x:c r="E285" s="24" t="n">
        <x:v>16</x:v>
      </x:c>
      <x:c r="F285" s="24" t="n">
        <x:v>14.4</x:v>
      </x:c>
      <x:c r="G285" s="24" t="n">
        <x:f>E285-F285</x:f>
        <x:v>1.5999999999999996</x:v>
      </x:c>
      <x:c r="H285" s="24" t="n">
        <x:f>ABS(G285)</x:f>
        <x:v>1.5999999999999996</x:v>
      </x:c>
      <x:c r="I285" s="24" t="n">
        <x:f>G285^2</x:f>
        <x:v>2.5599999999999987</x:v>
      </x:c>
    </x:row>
    <x:row r="286">
      <x:c r="A286" t="str">
        <x:v>C038</x:v>
      </x:c>
      <x:c r="B286" t="str">
        <x:v>P038</x:v>
      </x:c>
      <x:c r="C286" t="str">
        <x:v>DE_BY_2023</x:v>
      </x:c>
      <x:c r="D286" t="str">
        <x:v>FDP</x:v>
      </x:c>
      <x:c r="E286" s="24" t="n">
        <x:v>3</x:v>
      </x:c>
      <x:c r="F286" s="24" t="n">
        <x:v>3</x:v>
      </x:c>
      <x:c r="G286" s="24" t="n">
        <x:f>E286-F286</x:f>
        <x:v>0</x:v>
      </x:c>
      <x:c r="H286" s="24" t="n">
        <x:f>ABS(G286)</x:f>
        <x:v>0</x:v>
      </x:c>
      <x:c r="I286" s="24" t="n">
        <x:f>G286^2</x:f>
        <x:v>0</x:v>
      </x:c>
    </x:row>
    <x:row r="287">
      <x:c r="A287" t="str">
        <x:v>C038</x:v>
      </x:c>
      <x:c r="B287" t="str">
        <x:v>P038</x:v>
      </x:c>
      <x:c r="C287" t="str">
        <x:v>DE_BY_2023</x:v>
      </x:c>
      <x:c r="D287" t="str">
        <x:v>Freie Wähler</x:v>
      </x:c>
      <x:c r="E287" s="24" t="n">
        <x:v>15</x:v>
      </x:c>
      <x:c r="F287" s="24" t="n">
        <x:v>15.8</x:v>
      </x:c>
      <x:c r="G287" s="24" t="n">
        <x:f>E287-F287</x:f>
        <x:v>-0.8000000000000007</x:v>
      </x:c>
      <x:c r="H287" s="24" t="n">
        <x:f>ABS(G287)</x:f>
        <x:v>0.8000000000000007</x:v>
      </x:c>
      <x:c r="I287" s="24" t="n">
        <x:f>G287^2</x:f>
        <x:v>0.6400000000000011</x:v>
      </x:c>
    </x:row>
    <x:row r="288">
      <x:c r="A288" t="str">
        <x:v>C038</x:v>
      </x:c>
      <x:c r="B288" t="str">
        <x:v>P038</x:v>
      </x:c>
      <x:c r="C288" t="str">
        <x:v>DE_BY_2023</x:v>
      </x:c>
      <x:c r="D288" t="str">
        <x:v>AfD</x:v>
      </x:c>
      <x:c r="E288" s="24" t="n">
        <x:v>14</x:v>
      </x:c>
      <x:c r="F288" s="24" t="n">
        <x:v>14.6</x:v>
      </x:c>
      <x:c r="G288" s="24" t="n">
        <x:f>E288-F288</x:f>
        <x:v>-0.5999999999999996</x:v>
      </x:c>
      <x:c r="H288" s="24" t="n">
        <x:f>ABS(G288)</x:f>
        <x:v>0.5999999999999996</x:v>
      </x:c>
      <x:c r="I288" s="24" t="n">
        <x:f>G288^2</x:f>
        <x:v>0.3599999999999996</x:v>
      </x:c>
    </x:row>
    <x:row r="289">
      <x:c r="A289" t="str">
        <x:v>C038</x:v>
      </x:c>
      <x:c r="B289" t="str">
        <x:v>P038</x:v>
      </x:c>
      <x:c r="C289" t="str">
        <x:v>DE_BY_2023</x:v>
      </x:c>
      <x:c r="D289" t="str">
        <x:v>Sonstige inkl. LINKE</x:v>
      </x:c>
      <x:c r="E289" s="24" t="n">
        <x:v>6</x:v>
      </x:c>
      <x:c r="F289" s="24" t="n">
        <x:v>6.7</x:v>
      </x:c>
      <x:c r="G289" s="24" t="n">
        <x:f>E289-F289</x:f>
        <x:v>-0.7000000000000002</x:v>
      </x:c>
      <x:c r="H289" s="24" t="n">
        <x:f>ABS(G289)</x:f>
        <x:v>0.7000000000000002</x:v>
      </x:c>
      <x:c r="I289" s="24" t="n">
        <x:f>G289^2</x:f>
        <x:v>0.49000000000000027</x:v>
      </x:c>
    </x:row>
    <x:row r="290">
      <x:c r="A290" t="str">
        <x:v>C039</x:v>
      </x:c>
      <x:c r="B290" t="str">
        <x:v>P039</x:v>
      </x:c>
      <x:c r="C290" t="str">
        <x:v>DE_BE_2023</x:v>
      </x:c>
      <x:c r="D290" t="str">
        <x:v>CDU</x:v>
      </x:c>
      <x:c r="E290" s="24" t="n">
        <x:v>25</x:v>
      </x:c>
      <x:c r="F290" s="24" t="n">
        <x:v>28.2</x:v>
      </x:c>
      <x:c r="G290" s="24" t="n">
        <x:f>E290-F290</x:f>
        <x:v>-3.1999999999999993</x:v>
      </x:c>
      <x:c r="H290" s="24" t="n">
        <x:f>ABS(G290)</x:f>
        <x:v>3.1999999999999993</x:v>
      </x:c>
      <x:c r="I290" s="24" t="n">
        <x:f>G290^2</x:f>
        <x:v>10.239999999999995</x:v>
      </x:c>
    </x:row>
    <x:row r="291">
      <x:c r="A291" t="str">
        <x:v>C039</x:v>
      </x:c>
      <x:c r="B291" t="str">
        <x:v>P039</x:v>
      </x:c>
      <x:c r="C291" t="str">
        <x:v>DE_BE_2023</x:v>
      </x:c>
      <x:c r="D291" t="str">
        <x:v>SPD</x:v>
      </x:c>
      <x:c r="E291" s="24" t="n">
        <x:v>19</x:v>
      </x:c>
      <x:c r="F291" s="24" t="n">
        <x:v>18.4</x:v>
      </x:c>
      <x:c r="G291" s="24" t="n">
        <x:f>E291-F291</x:f>
        <x:v>0.6000000000000014</x:v>
      </x:c>
      <x:c r="H291" s="24" t="n">
        <x:f>ABS(G291)</x:f>
        <x:v>0.6000000000000014</x:v>
      </x:c>
      <x:c r="I291" s="24" t="n">
        <x:f>G291^2</x:f>
        <x:v>0.3600000000000017</x:v>
      </x:c>
    </x:row>
    <x:row r="292">
      <x:c r="A292" t="str">
        <x:v>C039</x:v>
      </x:c>
      <x:c r="B292" t="str">
        <x:v>P039</x:v>
      </x:c>
      <x:c r="C292" t="str">
        <x:v>DE_BE_2023</x:v>
      </x:c>
      <x:c r="D292" t="str">
        <x:v>GRÜNE</x:v>
      </x:c>
      <x:c r="E292" s="24" t="n">
        <x:v>18</x:v>
      </x:c>
      <x:c r="F292" s="24" t="n">
        <x:v>18.4</x:v>
      </x:c>
      <x:c r="G292" s="24" t="n">
        <x:f>E292-F292</x:f>
        <x:v>-0.3999999999999986</x:v>
      </x:c>
      <x:c r="H292" s="24" t="n">
        <x:f>ABS(G292)</x:f>
        <x:v>0.3999999999999986</x:v>
      </x:c>
      <x:c r="I292" s="24" t="n">
        <x:f>G292^2</x:f>
        <x:v>0.15999999999999887</x:v>
      </x:c>
    </x:row>
    <x:row r="293">
      <x:c r="A293" t="str">
        <x:v>C039</x:v>
      </x:c>
      <x:c r="B293" t="str">
        <x:v>P039</x:v>
      </x:c>
      <x:c r="C293" t="str">
        <x:v>DE_BE_2023</x:v>
      </x:c>
      <x:c r="D293" t="str">
        <x:v>FDP</x:v>
      </x:c>
      <x:c r="E293" s="24" t="n">
        <x:v>6</x:v>
      </x:c>
      <x:c r="F293" s="24" t="n">
        <x:v>4.6</x:v>
      </x:c>
      <x:c r="G293" s="24" t="n">
        <x:f>E293-F293</x:f>
        <x:v>1.4000000000000004</x:v>
      </x:c>
      <x:c r="H293" s="24" t="n">
        <x:f>ABS(G293)</x:f>
        <x:v>1.4000000000000004</x:v>
      </x:c>
      <x:c r="I293" s="24" t="n">
        <x:f>G293^2</x:f>
        <x:v>1.960000000000001</x:v>
      </x:c>
    </x:row>
    <x:row r="294">
      <x:c r="A294" t="str">
        <x:v>C039</x:v>
      </x:c>
      <x:c r="B294" t="str">
        <x:v>P039</x:v>
      </x:c>
      <x:c r="C294" t="str">
        <x:v>DE_BE_2023</x:v>
      </x:c>
      <x:c r="D294" t="str">
        <x:v>LINKE</x:v>
      </x:c>
      <x:c r="E294" s="24" t="n">
        <x:v>12</x:v>
      </x:c>
      <x:c r="F294" s="24" t="n">
        <x:v>12.2</x:v>
      </x:c>
      <x:c r="G294" s="24" t="n">
        <x:f>E294-F294</x:f>
        <x:v>-0.1999999999999993</x:v>
      </x:c>
      <x:c r="H294" s="24" t="n">
        <x:f>ABS(G294)</x:f>
        <x:v>0.1999999999999993</x:v>
      </x:c>
      <x:c r="I294" s="24" t="n">
        <x:f>G294^2</x:f>
        <x:v>0.039999999999999716</x:v>
      </x:c>
    </x:row>
    <x:row r="295">
      <x:c r="A295" t="str">
        <x:v>C039</x:v>
      </x:c>
      <x:c r="B295" t="str">
        <x:v>P039</x:v>
      </x:c>
      <x:c r="C295" t="str">
        <x:v>DE_BE_2023</x:v>
      </x:c>
      <x:c r="D295" t="str">
        <x:v>AfD</x:v>
      </x:c>
      <x:c r="E295" s="24" t="n">
        <x:v>10</x:v>
      </x:c>
      <x:c r="F295" s="24" t="n">
        <x:v>9.1</x:v>
      </x:c>
      <x:c r="G295" s="24" t="n">
        <x:f>E295-F295</x:f>
        <x:v>0.9000000000000004</x:v>
      </x:c>
      <x:c r="H295" s="24" t="n">
        <x:f>ABS(G295)</x:f>
        <x:v>0.9000000000000004</x:v>
      </x:c>
      <x:c r="I295" s="24" t="n">
        <x:f>G295^2</x:f>
        <x:v>0.8100000000000006</x:v>
      </x:c>
    </x:row>
    <x:row r="296">
      <x:c r="A296" t="str">
        <x:v>C039</x:v>
      </x:c>
      <x:c r="B296" t="str">
        <x:v>P039</x:v>
      </x:c>
      <x:c r="C296" t="str">
        <x:v>DE_BE_2023</x:v>
      </x:c>
      <x:c r="D296" t="str">
        <x:v>Sonstige</x:v>
      </x:c>
      <x:c r="E296" s="24" t="n">
        <x:v>10</x:v>
      </x:c>
      <x:c r="F296" s="24" t="n">
        <x:v>9.1</x:v>
      </x:c>
      <x:c r="G296" s="24" t="n">
        <x:f>E296-F296</x:f>
        <x:v>0.9000000000000004</x:v>
      </x:c>
      <x:c r="H296" s="24" t="n">
        <x:f>ABS(G296)</x:f>
        <x:v>0.9000000000000004</x:v>
      </x:c>
      <x:c r="I296" s="24" t="n">
        <x:f>G296^2</x:f>
        <x:v>0.8100000000000006</x:v>
      </x:c>
    </x:row>
    <x:row r="297">
      <x:c r="A297" t="str">
        <x:v>C040</x:v>
      </x:c>
      <x:c r="B297" t="str">
        <x:v>P040</x:v>
      </x:c>
      <x:c r="C297" t="str">
        <x:v>DE_BE_2023</x:v>
      </x:c>
      <x:c r="D297" t="str">
        <x:v>CDU</x:v>
      </x:c>
      <x:c r="E297" s="24" t="n">
        <x:v>25</x:v>
      </x:c>
      <x:c r="F297" s="24" t="n">
        <x:v>28.2</x:v>
      </x:c>
      <x:c r="G297" s="24" t="n">
        <x:f>E297-F297</x:f>
        <x:v>-3.1999999999999993</x:v>
      </x:c>
      <x:c r="H297" s="24" t="n">
        <x:f>ABS(G297)</x:f>
        <x:v>3.1999999999999993</x:v>
      </x:c>
      <x:c r="I297" s="24" t="n">
        <x:f>G297^2</x:f>
        <x:v>10.239999999999995</x:v>
      </x:c>
    </x:row>
    <x:row r="298">
      <x:c r="A298" t="str">
        <x:v>C040</x:v>
      </x:c>
      <x:c r="B298" t="str">
        <x:v>P040</x:v>
      </x:c>
      <x:c r="C298" t="str">
        <x:v>DE_BE_2023</x:v>
      </x:c>
      <x:c r="D298" t="str">
        <x:v>SPD</x:v>
      </x:c>
      <x:c r="E298" s="24" t="n">
        <x:v>19</x:v>
      </x:c>
      <x:c r="F298" s="24" t="n">
        <x:v>18.4</x:v>
      </x:c>
      <x:c r="G298" s="24" t="n">
        <x:f>E298-F298</x:f>
        <x:v>0.6000000000000014</x:v>
      </x:c>
      <x:c r="H298" s="24" t="n">
        <x:f>ABS(G298)</x:f>
        <x:v>0.6000000000000014</x:v>
      </x:c>
      <x:c r="I298" s="24" t="n">
        <x:f>G298^2</x:f>
        <x:v>0.3600000000000017</x:v>
      </x:c>
    </x:row>
    <x:row r="299">
      <x:c r="A299" t="str">
        <x:v>C040</x:v>
      </x:c>
      <x:c r="B299" t="str">
        <x:v>P040</x:v>
      </x:c>
      <x:c r="C299" t="str">
        <x:v>DE_BE_2023</x:v>
      </x:c>
      <x:c r="D299" t="str">
        <x:v>GRÜNE</x:v>
      </x:c>
      <x:c r="E299" s="24" t="n">
        <x:v>18</x:v>
      </x:c>
      <x:c r="F299" s="24" t="n">
        <x:v>18.4</x:v>
      </x:c>
      <x:c r="G299" s="24" t="n">
        <x:f>E299-F299</x:f>
        <x:v>-0.3999999999999986</x:v>
      </x:c>
      <x:c r="H299" s="24" t="n">
        <x:f>ABS(G299)</x:f>
        <x:v>0.3999999999999986</x:v>
      </x:c>
      <x:c r="I299" s="24" t="n">
        <x:f>G299^2</x:f>
        <x:v>0.15999999999999887</x:v>
      </x:c>
    </x:row>
    <x:row r="300">
      <x:c r="A300" t="str">
        <x:v>C040</x:v>
      </x:c>
      <x:c r="B300" t="str">
        <x:v>P040</x:v>
      </x:c>
      <x:c r="C300" t="str">
        <x:v>DE_BE_2023</x:v>
      </x:c>
      <x:c r="D300" t="str">
        <x:v>FDP</x:v>
      </x:c>
      <x:c r="E300" s="24" t="n">
        <x:v>6</x:v>
      </x:c>
      <x:c r="F300" s="24" t="n">
        <x:v>4.6</x:v>
      </x:c>
      <x:c r="G300" s="24" t="n">
        <x:f>E300-F300</x:f>
        <x:v>1.4000000000000004</x:v>
      </x:c>
      <x:c r="H300" s="24" t="n">
        <x:f>ABS(G300)</x:f>
        <x:v>1.4000000000000004</x:v>
      </x:c>
      <x:c r="I300" s="24" t="n">
        <x:f>G300^2</x:f>
        <x:v>1.960000000000001</x:v>
      </x:c>
    </x:row>
    <x:row r="301">
      <x:c r="A301" t="str">
        <x:v>C040</x:v>
      </x:c>
      <x:c r="B301" t="str">
        <x:v>P040</x:v>
      </x:c>
      <x:c r="C301" t="str">
        <x:v>DE_BE_2023</x:v>
      </x:c>
      <x:c r="D301" t="str">
        <x:v>LINKE</x:v>
      </x:c>
      <x:c r="E301" s="24" t="n">
        <x:v>12</x:v>
      </x:c>
      <x:c r="F301" s="24" t="n">
        <x:v>12.2</x:v>
      </x:c>
      <x:c r="G301" s="24" t="n">
        <x:f>E301-F301</x:f>
        <x:v>-0.1999999999999993</x:v>
      </x:c>
      <x:c r="H301" s="24" t="n">
        <x:f>ABS(G301)</x:f>
        <x:v>0.1999999999999993</x:v>
      </x:c>
      <x:c r="I301" s="24" t="n">
        <x:f>G301^2</x:f>
        <x:v>0.039999999999999716</x:v>
      </x:c>
    </x:row>
    <x:row r="302">
      <x:c r="A302" t="str">
        <x:v>C040</x:v>
      </x:c>
      <x:c r="B302" t="str">
        <x:v>P040</x:v>
      </x:c>
      <x:c r="C302" t="str">
        <x:v>DE_BE_2023</x:v>
      </x:c>
      <x:c r="D302" t="str">
        <x:v>AfD</x:v>
      </x:c>
      <x:c r="E302" s="24" t="n">
        <x:v>10</x:v>
      </x:c>
      <x:c r="F302" s="24" t="n">
        <x:v>9.1</x:v>
      </x:c>
      <x:c r="G302" s="24" t="n">
        <x:f>E302-F302</x:f>
        <x:v>0.9000000000000004</x:v>
      </x:c>
      <x:c r="H302" s="24" t="n">
        <x:f>ABS(G302)</x:f>
        <x:v>0.9000000000000004</x:v>
      </x:c>
      <x:c r="I302" s="24" t="n">
        <x:f>G302^2</x:f>
        <x:v>0.8100000000000006</x:v>
      </x:c>
    </x:row>
    <x:row r="303">
      <x:c r="A303" t="str">
        <x:v>C040</x:v>
      </x:c>
      <x:c r="B303" t="str">
        <x:v>P040</x:v>
      </x:c>
      <x:c r="C303" t="str">
        <x:v>DE_BE_2023</x:v>
      </x:c>
      <x:c r="D303" t="str">
        <x:v>Sonstige</x:v>
      </x:c>
      <x:c r="E303" s="24" t="n">
        <x:v>10</x:v>
      </x:c>
      <x:c r="F303" s="24" t="n">
        <x:v>9.1</x:v>
      </x:c>
      <x:c r="G303" s="24" t="n">
        <x:f>E303-F303</x:f>
        <x:v>0.9000000000000004</x:v>
      </x:c>
      <x:c r="H303" s="24" t="n">
        <x:f>ABS(G303)</x:f>
        <x:v>0.9000000000000004</x:v>
      </x:c>
      <x:c r="I303" s="24" t="n">
        <x:f>G303^2</x:f>
        <x:v>0.8100000000000006</x:v>
      </x:c>
    </x:row>
    <x:row r="304">
      <x:c r="A304" t="str">
        <x:v>C041</x:v>
      </x:c>
      <x:c r="B304" t="str">
        <x:v>P041</x:v>
      </x:c>
      <x:c r="C304" t="str">
        <x:v>DE_BE_2023</x:v>
      </x:c>
      <x:c r="D304" t="str">
        <x:v>CDU</x:v>
      </x:c>
      <x:c r="E304" s="24" t="n">
        <x:v>26</x:v>
      </x:c>
      <x:c r="F304" s="24" t="n">
        <x:v>28.2</x:v>
      </x:c>
      <x:c r="G304" s="24" t="n">
        <x:f>E304-F304</x:f>
        <x:v>-2.1999999999999993</x:v>
      </x:c>
      <x:c r="H304" s="24" t="n">
        <x:f>ABS(G304)</x:f>
        <x:v>2.1999999999999993</x:v>
      </x:c>
      <x:c r="I304" s="24" t="n">
        <x:f>G304^2</x:f>
        <x:v>4.839999999999997</x:v>
      </x:c>
    </x:row>
    <x:row r="305">
      <x:c r="A305" t="str">
        <x:v>C041</x:v>
      </x:c>
      <x:c r="B305" t="str">
        <x:v>P041</x:v>
      </x:c>
      <x:c r="C305" t="str">
        <x:v>DE_BE_2023</x:v>
      </x:c>
      <x:c r="D305" t="str">
        <x:v>SPD</x:v>
      </x:c>
      <x:c r="E305" s="24" t="n">
        <x:v>17</x:v>
      </x:c>
      <x:c r="F305" s="24" t="n">
        <x:v>18.4</x:v>
      </x:c>
      <x:c r="G305" s="24" t="n">
        <x:f>E305-F305</x:f>
        <x:v>-1.3999999999999986</x:v>
      </x:c>
      <x:c r="H305" s="24" t="n">
        <x:f>ABS(G305)</x:f>
        <x:v>1.3999999999999986</x:v>
      </x:c>
      <x:c r="I305" s="24" t="n">
        <x:f>G305^2</x:f>
        <x:v>1.959999999999996</x:v>
      </x:c>
    </x:row>
    <x:row r="306">
      <x:c r="A306" t="str">
        <x:v>C041</x:v>
      </x:c>
      <x:c r="B306" t="str">
        <x:v>P041</x:v>
      </x:c>
      <x:c r="C306" t="str">
        <x:v>DE_BE_2023</x:v>
      </x:c>
      <x:c r="D306" t="str">
        <x:v>GRÜNE</x:v>
      </x:c>
      <x:c r="E306" s="24" t="n">
        <x:v>18</x:v>
      </x:c>
      <x:c r="F306" s="24" t="n">
        <x:v>18.4</x:v>
      </x:c>
      <x:c r="G306" s="24" t="n">
        <x:f>E306-F306</x:f>
        <x:v>-0.3999999999999986</x:v>
      </x:c>
      <x:c r="H306" s="24" t="n">
        <x:f>ABS(G306)</x:f>
        <x:v>0.3999999999999986</x:v>
      </x:c>
      <x:c r="I306" s="24" t="n">
        <x:f>G306^2</x:f>
        <x:v>0.15999999999999887</x:v>
      </x:c>
    </x:row>
    <x:row r="307">
      <x:c r="A307" t="str">
        <x:v>C041</x:v>
      </x:c>
      <x:c r="B307" t="str">
        <x:v>P041</x:v>
      </x:c>
      <x:c r="C307" t="str">
        <x:v>DE_BE_2023</x:v>
      </x:c>
      <x:c r="D307" t="str">
        <x:v>FDP</x:v>
      </x:c>
      <x:c r="E307" s="24" t="n">
        <x:v>5</x:v>
      </x:c>
      <x:c r="F307" s="24" t="n">
        <x:v>4.6</x:v>
      </x:c>
      <x:c r="G307" s="24" t="n">
        <x:f>E307-F307</x:f>
        <x:v>0.40000000000000036</x:v>
      </x:c>
      <x:c r="H307" s="24" t="n">
        <x:f>ABS(G307)</x:f>
        <x:v>0.40000000000000036</x:v>
      </x:c>
      <x:c r="I307" s="24" t="n">
        <x:f>G307^2</x:f>
        <x:v>0.16000000000000028</x:v>
      </x:c>
    </x:row>
    <x:row r="308">
      <x:c r="A308" t="str">
        <x:v>C041</x:v>
      </x:c>
      <x:c r="B308" t="str">
        <x:v>P041</x:v>
      </x:c>
      <x:c r="C308" t="str">
        <x:v>DE_BE_2023</x:v>
      </x:c>
      <x:c r="D308" t="str">
        <x:v>LINKE</x:v>
      </x:c>
      <x:c r="E308" s="24" t="n">
        <x:v>12</x:v>
      </x:c>
      <x:c r="F308" s="24" t="n">
        <x:v>12.2</x:v>
      </x:c>
      <x:c r="G308" s="24" t="n">
        <x:f>E308-F308</x:f>
        <x:v>-0.1999999999999993</x:v>
      </x:c>
      <x:c r="H308" s="24" t="n">
        <x:f>ABS(G308)</x:f>
        <x:v>0.1999999999999993</x:v>
      </x:c>
      <x:c r="I308" s="24" t="n">
        <x:f>G308^2</x:f>
        <x:v>0.039999999999999716</x:v>
      </x:c>
    </x:row>
    <x:row r="309">
      <x:c r="A309" t="str">
        <x:v>C041</x:v>
      </x:c>
      <x:c r="B309" t="str">
        <x:v>P041</x:v>
      </x:c>
      <x:c r="C309" t="str">
        <x:v>DE_BE_2023</x:v>
      </x:c>
      <x:c r="D309" t="str">
        <x:v>AfD</x:v>
      </x:c>
      <x:c r="E309" s="24" t="n">
        <x:v>10</x:v>
      </x:c>
      <x:c r="F309" s="24" t="n">
        <x:v>9.1</x:v>
      </x:c>
      <x:c r="G309" s="24" t="n">
        <x:f>E309-F309</x:f>
        <x:v>0.9000000000000004</x:v>
      </x:c>
      <x:c r="H309" s="24" t="n">
        <x:f>ABS(G309)</x:f>
        <x:v>0.9000000000000004</x:v>
      </x:c>
      <x:c r="I309" s="24" t="n">
        <x:f>G309^2</x:f>
        <x:v>0.8100000000000006</x:v>
      </x:c>
    </x:row>
    <x:row r="310">
      <x:c r="A310" t="str">
        <x:v>C041</x:v>
      </x:c>
      <x:c r="B310" t="str">
        <x:v>P041</x:v>
      </x:c>
      <x:c r="C310" t="str">
        <x:v>DE_BE_2023</x:v>
      </x:c>
      <x:c r="D310" t="str">
        <x:v>Sonstige</x:v>
      </x:c>
      <x:c r="E310" s="24" t="n">
        <x:v>12</x:v>
      </x:c>
      <x:c r="F310" s="24" t="n">
        <x:v>9.1</x:v>
      </x:c>
      <x:c r="G310" s="24" t="n">
        <x:f>E310-F310</x:f>
        <x:v>2.9000000000000004</x:v>
      </x:c>
      <x:c r="H310" s="24" t="n">
        <x:f>ABS(G310)</x:f>
        <x:v>2.9000000000000004</x:v>
      </x:c>
      <x:c r="I310" s="24" t="n">
        <x:f>G310^2</x:f>
        <x:v>8.410000000000002</x:v>
      </x:c>
    </x:row>
    <x:row r="311">
      <x:c r="A311" t="str">
        <x:v>C042</x:v>
      </x:c>
      <x:c r="B311" t="str">
        <x:v>P042</x:v>
      </x:c>
      <x:c r="C311" t="str">
        <x:v>DE_BE_2023</x:v>
      </x:c>
      <x:c r="D311" t="str">
        <x:v>CDU</x:v>
      </x:c>
      <x:c r="E311" s="24" t="n">
        <x:v>25</x:v>
      </x:c>
      <x:c r="F311" s="24" t="n">
        <x:v>28.2</x:v>
      </x:c>
      <x:c r="G311" s="24" t="n">
        <x:f>E311-F311</x:f>
        <x:v>-3.1999999999999993</x:v>
      </x:c>
      <x:c r="H311" s="24" t="n">
        <x:f>ABS(G311)</x:f>
        <x:v>3.1999999999999993</x:v>
      </x:c>
      <x:c r="I311" s="24" t="n">
        <x:f>G311^2</x:f>
        <x:v>10.239999999999995</x:v>
      </x:c>
    </x:row>
    <x:row r="312">
      <x:c r="A312" t="str">
        <x:v>C042</x:v>
      </x:c>
      <x:c r="B312" t="str">
        <x:v>P042</x:v>
      </x:c>
      <x:c r="C312" t="str">
        <x:v>DE_BE_2023</x:v>
      </x:c>
      <x:c r="D312" t="str">
        <x:v>SPD</x:v>
      </x:c>
      <x:c r="E312" s="24" t="n">
        <x:v>21</x:v>
      </x:c>
      <x:c r="F312" s="24" t="n">
        <x:v>18.4</x:v>
      </x:c>
      <x:c r="G312" s="24" t="n">
        <x:f>E312-F312</x:f>
        <x:v>2.6000000000000014</x:v>
      </x:c>
      <x:c r="H312" s="24" t="n">
        <x:f>ABS(G312)</x:f>
        <x:v>2.6000000000000014</x:v>
      </x:c>
      <x:c r="I312" s="24" t="n">
        <x:f>G312^2</x:f>
        <x:v>6.760000000000008</x:v>
      </x:c>
    </x:row>
    <x:row r="313">
      <x:c r="A313" t="str">
        <x:v>C042</x:v>
      </x:c>
      <x:c r="B313" t="str">
        <x:v>P042</x:v>
      </x:c>
      <x:c r="C313" t="str">
        <x:v>DE_BE_2023</x:v>
      </x:c>
      <x:c r="D313" t="str">
        <x:v>GRÜNE</x:v>
      </x:c>
      <x:c r="E313" s="24" t="n">
        <x:v>17</x:v>
      </x:c>
      <x:c r="F313" s="24" t="n">
        <x:v>18.4</x:v>
      </x:c>
      <x:c r="G313" s="24" t="n">
        <x:f>E313-F313</x:f>
        <x:v>-1.3999999999999986</x:v>
      </x:c>
      <x:c r="H313" s="24" t="n">
        <x:f>ABS(G313)</x:f>
        <x:v>1.3999999999999986</x:v>
      </x:c>
      <x:c r="I313" s="24" t="n">
        <x:f>G313^2</x:f>
        <x:v>1.959999999999996</x:v>
      </x:c>
    </x:row>
    <x:row r="314">
      <x:c r="A314" t="str">
        <x:v>C042</x:v>
      </x:c>
      <x:c r="B314" t="str">
        <x:v>P042</x:v>
      </x:c>
      <x:c r="C314" t="str">
        <x:v>DE_BE_2023</x:v>
      </x:c>
      <x:c r="D314" t="str">
        <x:v>FDP</x:v>
      </x:c>
      <x:c r="E314" s="24" t="n">
        <x:v>6</x:v>
      </x:c>
      <x:c r="F314" s="24" t="n">
        <x:v>4.6</x:v>
      </x:c>
      <x:c r="G314" s="24" t="n">
        <x:f>E314-F314</x:f>
        <x:v>1.4000000000000004</x:v>
      </x:c>
      <x:c r="H314" s="24" t="n">
        <x:f>ABS(G314)</x:f>
        <x:v>1.4000000000000004</x:v>
      </x:c>
      <x:c r="I314" s="24" t="n">
        <x:f>G314^2</x:f>
        <x:v>1.960000000000001</x:v>
      </x:c>
    </x:row>
    <x:row r="315">
      <x:c r="A315" t="str">
        <x:v>C042</x:v>
      </x:c>
      <x:c r="B315" t="str">
        <x:v>P042</x:v>
      </x:c>
      <x:c r="C315" t="str">
        <x:v>DE_BE_2023</x:v>
      </x:c>
      <x:c r="D315" t="str">
        <x:v>LINKE</x:v>
      </x:c>
      <x:c r="E315" s="24" t="n">
        <x:v>11</x:v>
      </x:c>
      <x:c r="F315" s="24" t="n">
        <x:v>12.2</x:v>
      </x:c>
      <x:c r="G315" s="24" t="n">
        <x:f>E315-F315</x:f>
        <x:v>-1.1999999999999993</x:v>
      </x:c>
      <x:c r="H315" s="24" t="n">
        <x:f>ABS(G315)</x:f>
        <x:v>1.1999999999999993</x:v>
      </x:c>
      <x:c r="I315" s="24" t="n">
        <x:f>G315^2</x:f>
        <x:v>1.4399999999999984</x:v>
      </x:c>
    </x:row>
    <x:row r="316">
      <x:c r="A316" t="str">
        <x:v>C042</x:v>
      </x:c>
      <x:c r="B316" t="str">
        <x:v>P042</x:v>
      </x:c>
      <x:c r="C316" t="str">
        <x:v>DE_BE_2023</x:v>
      </x:c>
      <x:c r="D316" t="str">
        <x:v>AfD</x:v>
      </x:c>
      <x:c r="E316" s="24" t="n">
        <x:v>10</x:v>
      </x:c>
      <x:c r="F316" s="24" t="n">
        <x:v>9.1</x:v>
      </x:c>
      <x:c r="G316" s="24" t="n">
        <x:f>E316-F316</x:f>
        <x:v>0.9000000000000004</x:v>
      </x:c>
      <x:c r="H316" s="24" t="n">
        <x:f>ABS(G316)</x:f>
        <x:v>0.9000000000000004</x:v>
      </x:c>
      <x:c r="I316" s="24" t="n">
        <x:f>G316^2</x:f>
        <x:v>0.8100000000000006</x:v>
      </x:c>
    </x:row>
    <x:row r="317">
      <x:c r="A317" t="str">
        <x:v>C042</x:v>
      </x:c>
      <x:c r="B317" t="str">
        <x:v>P042</x:v>
      </x:c>
      <x:c r="C317" t="str">
        <x:v>DE_BE_2023</x:v>
      </x:c>
      <x:c r="D317" t="str">
        <x:v>Sonstige</x:v>
      </x:c>
      <x:c r="E317" s="24" t="n">
        <x:v>10</x:v>
      </x:c>
      <x:c r="F317" s="24" t="n">
        <x:v>9.1</x:v>
      </x:c>
      <x:c r="G317" s="24" t="n">
        <x:f>E317-F317</x:f>
        <x:v>0.9000000000000004</x:v>
      </x:c>
      <x:c r="H317" s="24" t="n">
        <x:f>ABS(G317)</x:f>
        <x:v>0.9000000000000004</x:v>
      </x:c>
      <x:c r="I317" s="24" t="n">
        <x:f>G317^2</x:f>
        <x:v>0.8100000000000006</x:v>
      </x:c>
    </x:row>
    <x:row r="318">
      <x:c r="A318" t="str">
        <x:v>C043</x:v>
      </x:c>
      <x:c r="B318" t="str">
        <x:v>P043</x:v>
      </x:c>
      <x:c r="C318" t="str">
        <x:v>DE_BE_2023</x:v>
      </x:c>
      <x:c r="D318" t="str">
        <x:v>CDU</x:v>
      </x:c>
      <x:c r="E318" s="24" t="n">
        <x:v>24</x:v>
      </x:c>
      <x:c r="F318" s="24" t="n">
        <x:v>28.2</x:v>
      </x:c>
      <x:c r="G318" s="24" t="n">
        <x:f>E318-F318</x:f>
        <x:v>-4.199999999999999</x:v>
      </x:c>
      <x:c r="H318" s="24" t="n">
        <x:f>ABS(G318)</x:f>
        <x:v>4.199999999999999</x:v>
      </x:c>
      <x:c r="I318" s="24" t="n">
        <x:f>G318^2</x:f>
        <x:v>17.639999999999993</x:v>
      </x:c>
    </x:row>
    <x:row r="319">
      <x:c r="A319" t="str">
        <x:v>C043</x:v>
      </x:c>
      <x:c r="B319" t="str">
        <x:v>P043</x:v>
      </x:c>
      <x:c r="C319" t="str">
        <x:v>DE_BE_2023</x:v>
      </x:c>
      <x:c r="D319" t="str">
        <x:v>SPD</x:v>
      </x:c>
      <x:c r="E319" s="24" t="n">
        <x:v>22</x:v>
      </x:c>
      <x:c r="F319" s="24" t="n">
        <x:v>18.4</x:v>
      </x:c>
      <x:c r="G319" s="24" t="n">
        <x:f>E319-F319</x:f>
        <x:v>3.6000000000000014</x:v>
      </x:c>
      <x:c r="H319" s="24" t="n">
        <x:f>ABS(G319)</x:f>
        <x:v>3.6000000000000014</x:v>
      </x:c>
      <x:c r="I319" s="24" t="n">
        <x:f>G319^2</x:f>
        <x:v>12.96000000000001</x:v>
      </x:c>
    </x:row>
    <x:row r="320">
      <x:c r="A320" t="str">
        <x:v>C043</x:v>
      </x:c>
      <x:c r="B320" t="str">
        <x:v>P043</x:v>
      </x:c>
      <x:c r="C320" t="str">
        <x:v>DE_BE_2023</x:v>
      </x:c>
      <x:c r="D320" t="str">
        <x:v>GRÜNE</x:v>
      </x:c>
      <x:c r="E320" s="24" t="n">
        <x:v>17</x:v>
      </x:c>
      <x:c r="F320" s="24" t="n">
        <x:v>18.4</x:v>
      </x:c>
      <x:c r="G320" s="24" t="n">
        <x:f>E320-F320</x:f>
        <x:v>-1.3999999999999986</x:v>
      </x:c>
      <x:c r="H320" s="24" t="n">
        <x:f>ABS(G320)</x:f>
        <x:v>1.3999999999999986</x:v>
      </x:c>
      <x:c r="I320" s="24" t="n">
        <x:f>G320^2</x:f>
        <x:v>1.959999999999996</x:v>
      </x:c>
    </x:row>
    <x:row r="321">
      <x:c r="A321" t="str">
        <x:v>C043</x:v>
      </x:c>
      <x:c r="B321" t="str">
        <x:v>P043</x:v>
      </x:c>
      <x:c r="C321" t="str">
        <x:v>DE_BE_2023</x:v>
      </x:c>
      <x:c r="D321" t="str">
        <x:v>FDP</x:v>
      </x:c>
      <x:c r="E321" s="24" t="n">
        <x:v>7</x:v>
      </x:c>
      <x:c r="F321" s="24" t="n">
        <x:v>4.6</x:v>
      </x:c>
      <x:c r="G321" s="24" t="n">
        <x:f>E321-F321</x:f>
        <x:v>2.4000000000000004</x:v>
      </x:c>
      <x:c r="H321" s="24" t="n">
        <x:f>ABS(G321)</x:f>
        <x:v>2.4000000000000004</x:v>
      </x:c>
      <x:c r="I321" s="24" t="n">
        <x:f>G321^2</x:f>
        <x:v>5.760000000000002</x:v>
      </x:c>
    </x:row>
    <x:row r="322">
      <x:c r="A322" t="str">
        <x:v>C043</x:v>
      </x:c>
      <x:c r="B322" t="str">
        <x:v>P043</x:v>
      </x:c>
      <x:c r="C322" t="str">
        <x:v>DE_BE_2023</x:v>
      </x:c>
      <x:c r="D322" t="str">
        <x:v>LINKE</x:v>
      </x:c>
      <x:c r="E322" s="24" t="n">
        <x:v>11</x:v>
      </x:c>
      <x:c r="F322" s="24" t="n">
        <x:v>12.2</x:v>
      </x:c>
      <x:c r="G322" s="24" t="n">
        <x:f>E322-F322</x:f>
        <x:v>-1.1999999999999993</x:v>
      </x:c>
      <x:c r="H322" s="24" t="n">
        <x:f>ABS(G322)</x:f>
        <x:v>1.1999999999999993</x:v>
      </x:c>
      <x:c r="I322" s="24" t="n">
        <x:f>G322^2</x:f>
        <x:v>1.4399999999999984</x:v>
      </x:c>
    </x:row>
    <x:row r="323">
      <x:c r="A323" t="str">
        <x:v>C043</x:v>
      </x:c>
      <x:c r="B323" t="str">
        <x:v>P043</x:v>
      </x:c>
      <x:c r="C323" t="str">
        <x:v>DE_BE_2023</x:v>
      </x:c>
      <x:c r="D323" t="str">
        <x:v>AfD</x:v>
      </x:c>
      <x:c r="E323" s="24" t="n">
        <x:v>9</x:v>
      </x:c>
      <x:c r="F323" s="24" t="n">
        <x:v>9.1</x:v>
      </x:c>
      <x:c r="G323" s="24" t="n">
        <x:f>E323-F323</x:f>
        <x:v>-0.09999999999999964</x:v>
      </x:c>
      <x:c r="H323" s="24" t="n">
        <x:f>ABS(G323)</x:f>
        <x:v>0.09999999999999964</x:v>
      </x:c>
      <x:c r="I323" s="24" t="n">
        <x:f>G323^2</x:f>
        <x:v>0.009999999999999929</x:v>
      </x:c>
    </x:row>
    <x:row r="324">
      <x:c r="A324" t="str">
        <x:v>C043</x:v>
      </x:c>
      <x:c r="B324" t="str">
        <x:v>P043</x:v>
      </x:c>
      <x:c r="C324" t="str">
        <x:v>DE_BE_2023</x:v>
      </x:c>
      <x:c r="D324" t="str">
        <x:v>Sonstige</x:v>
      </x:c>
      <x:c r="E324" s="24" t="n">
        <x:v>10</x:v>
      </x:c>
      <x:c r="F324" s="24" t="n">
        <x:v>9.1</x:v>
      </x:c>
      <x:c r="G324" s="24" t="n">
        <x:f>E324-F324</x:f>
        <x:v>0.9000000000000004</x:v>
      </x:c>
      <x:c r="H324" s="24" t="n">
        <x:f>ABS(G324)</x:f>
        <x:v>0.9000000000000004</x:v>
      </x:c>
      <x:c r="I324" s="24" t="n">
        <x:f>G324^2</x:f>
        <x:v>0.8100000000000006</x:v>
      </x:c>
    </x:row>
    <x:row r="325">
      <x:c r="A325" t="str">
        <x:v>C044</x:v>
      </x:c>
      <x:c r="B325" t="str">
        <x:v>P044</x:v>
      </x:c>
      <x:c r="C325" t="str">
        <x:v>DE_NI_2022</x:v>
      </x:c>
      <x:c r="D325" t="str">
        <x:v>CDU</x:v>
      </x:c>
      <x:c r="E325" s="24" t="n">
        <x:v>28</x:v>
      </x:c>
      <x:c r="F325" s="24" t="n">
        <x:v>28.1</x:v>
      </x:c>
      <x:c r="G325" s="24" t="n">
        <x:f>E325-F325</x:f>
        <x:v>-0.10000000000000142</x:v>
      </x:c>
      <x:c r="H325" s="24" t="n">
        <x:f>ABS(G325)</x:f>
        <x:v>0.10000000000000142</x:v>
      </x:c>
      <x:c r="I325" s="24" t="n">
        <x:f>G325^2</x:f>
        <x:v>0.010000000000000285</x:v>
      </x:c>
    </x:row>
    <x:row r="326">
      <x:c r="A326" t="str">
        <x:v>C044</x:v>
      </x:c>
      <x:c r="B326" t="str">
        <x:v>P044</x:v>
      </x:c>
      <x:c r="C326" t="str">
        <x:v>DE_NI_2022</x:v>
      </x:c>
      <x:c r="D326" t="str">
        <x:v>SPD</x:v>
      </x:c>
      <x:c r="E326" s="24" t="n">
        <x:v>33</x:v>
      </x:c>
      <x:c r="F326" s="24" t="n">
        <x:v>33.4</x:v>
      </x:c>
      <x:c r="G326" s="24" t="n">
        <x:f>E326-F326</x:f>
        <x:v>-0.3999999999999986</x:v>
      </x:c>
      <x:c r="H326" s="24" t="n">
        <x:f>ABS(G326)</x:f>
        <x:v>0.3999999999999986</x:v>
      </x:c>
      <x:c r="I326" s="24" t="n">
        <x:f>G326^2</x:f>
        <x:v>0.15999999999999887</x:v>
      </x:c>
    </x:row>
    <x:row r="327">
      <x:c r="A327" t="str">
        <x:v>C044</x:v>
      </x:c>
      <x:c r="B327" t="str">
        <x:v>P044</x:v>
      </x:c>
      <x:c r="C327" t="str">
        <x:v>DE_NI_2022</x:v>
      </x:c>
      <x:c r="D327" t="str">
        <x:v>GRÜNE</x:v>
      </x:c>
      <x:c r="E327" s="24" t="n">
        <x:v>16</x:v>
      </x:c>
      <x:c r="F327" s="24" t="n">
        <x:v>14.5</x:v>
      </x:c>
      <x:c r="G327" s="24" t="n">
        <x:f>E327-F327</x:f>
        <x:v>1.5</x:v>
      </x:c>
      <x:c r="H327" s="24" t="n">
        <x:f>ABS(G327)</x:f>
        <x:v>1.5</x:v>
      </x:c>
      <x:c r="I327" s="24" t="n">
        <x:f>G327^2</x:f>
        <x:v>2.25</x:v>
      </x:c>
    </x:row>
    <x:row r="328">
      <x:c r="A328" t="str">
        <x:v>C044</x:v>
      </x:c>
      <x:c r="B328" t="str">
        <x:v>P044</x:v>
      </x:c>
      <x:c r="C328" t="str">
        <x:v>DE_NI_2022</x:v>
      </x:c>
      <x:c r="D328" t="str">
        <x:v>FDP</x:v>
      </x:c>
      <x:c r="E328" s="24" t="n">
        <x:v>5</x:v>
      </x:c>
      <x:c r="F328" s="24" t="n">
        <x:v>4.7</x:v>
      </x:c>
      <x:c r="G328" s="24" t="n">
        <x:f>E328-F328</x:f>
        <x:v>0.2999999999999998</x:v>
      </x:c>
      <x:c r="H328" s="24" t="n">
        <x:f>ABS(G328)</x:f>
        <x:v>0.2999999999999998</x:v>
      </x:c>
      <x:c r="I328" s="24" t="n">
        <x:f>G328^2</x:f>
        <x:v>0.0899999999999999</x:v>
      </x:c>
    </x:row>
    <x:row r="329">
      <x:c r="A329" t="str">
        <x:v>C044</x:v>
      </x:c>
      <x:c r="B329" t="str">
        <x:v>P044</x:v>
      </x:c>
      <x:c r="C329" t="str">
        <x:v>DE_NI_2022</x:v>
      </x:c>
      <x:c r="D329" t="str">
        <x:v>LINKE</x:v>
      </x:c>
      <x:c r="E329" s="24" t="n">
        <x:v>3.5</x:v>
      </x:c>
      <x:c r="F329" s="24" t="n">
        <x:v>2.7</x:v>
      </x:c>
      <x:c r="G329" s="24" t="n">
        <x:f>E329-F329</x:f>
        <x:v>0.7999999999999998</x:v>
      </x:c>
      <x:c r="H329" s="24" t="n">
        <x:f>ABS(G329)</x:f>
        <x:v>0.7999999999999998</x:v>
      </x:c>
      <x:c r="I329" s="24" t="n">
        <x:f>G329^2</x:f>
        <x:v>0.6399999999999997</x:v>
      </x:c>
    </x:row>
    <x:row r="330">
      <x:c r="A330" t="str">
        <x:v>C044</x:v>
      </x:c>
      <x:c r="B330" t="str">
        <x:v>P044</x:v>
      </x:c>
      <x:c r="C330" t="str">
        <x:v>DE_NI_2022</x:v>
      </x:c>
      <x:c r="D330" t="str">
        <x:v>AfD</x:v>
      </x:c>
      <x:c r="E330" s="24" t="n">
        <x:v>10</x:v>
      </x:c>
      <x:c r="F330" s="24" t="n">
        <x:v>10.9</x:v>
      </x:c>
      <x:c r="G330" s="24" t="n">
        <x:f>E330-F330</x:f>
        <x:v>-0.9000000000000004</x:v>
      </x:c>
      <x:c r="H330" s="24" t="n">
        <x:f>ABS(G330)</x:f>
        <x:v>0.9000000000000004</x:v>
      </x:c>
      <x:c r="I330" s="24" t="n">
        <x:f>G330^2</x:f>
        <x:v>0.8100000000000006</x:v>
      </x:c>
    </x:row>
    <x:row r="331">
      <x:c r="A331" t="str">
        <x:v>C044</x:v>
      </x:c>
      <x:c r="B331" t="str">
        <x:v>P044</x:v>
      </x:c>
      <x:c r="C331" t="str">
        <x:v>DE_NI_2022</x:v>
      </x:c>
      <x:c r="D331" t="str">
        <x:v>Sonstige</x:v>
      </x:c>
      <x:c r="E331" s="24" t="n">
        <x:v>4.5</x:v>
      </x:c>
      <x:c r="F331" s="24" t="n">
        <x:v>5.6</x:v>
      </x:c>
      <x:c r="G331" s="24" t="n">
        <x:f>E331-F331</x:f>
        <x:v>-1.0999999999999996</x:v>
      </x:c>
      <x:c r="H331" s="24" t="n">
        <x:f>ABS(G331)</x:f>
        <x:v>1.0999999999999996</x:v>
      </x:c>
      <x:c r="I331" s="24" t="n">
        <x:f>G331^2</x:f>
        <x:v>1.2099999999999993</x:v>
      </x:c>
    </x:row>
    <x:row r="332">
      <x:c r="A332" t="str">
        <x:v>C045</x:v>
      </x:c>
      <x:c r="B332" t="str">
        <x:v>P045</x:v>
      </x:c>
      <x:c r="C332" t="str">
        <x:v>DE_NI_2022</x:v>
      </x:c>
      <x:c r="D332" t="str">
        <x:v>CDU</x:v>
      </x:c>
      <x:c r="E332" s="24" t="n">
        <x:v>28</x:v>
      </x:c>
      <x:c r="F332" s="24" t="n">
        <x:v>28.1</x:v>
      </x:c>
      <x:c r="G332" s="24" t="n">
        <x:f>E332-F332</x:f>
        <x:v>-0.10000000000000142</x:v>
      </x:c>
      <x:c r="H332" s="24" t="n">
        <x:f>ABS(G332)</x:f>
        <x:v>0.10000000000000142</x:v>
      </x:c>
      <x:c r="I332" s="24" t="n">
        <x:f>G332^2</x:f>
        <x:v>0.010000000000000285</x:v>
      </x:c>
    </x:row>
    <x:row r="333">
      <x:c r="A333" t="str">
        <x:v>C045</x:v>
      </x:c>
      <x:c r="B333" t="str">
        <x:v>P045</x:v>
      </x:c>
      <x:c r="C333" t="str">
        <x:v>DE_NI_2022</x:v>
      </x:c>
      <x:c r="D333" t="str">
        <x:v>SPD</x:v>
      </x:c>
      <x:c r="E333" s="24" t="n">
        <x:v>31</x:v>
      </x:c>
      <x:c r="F333" s="24" t="n">
        <x:v>33.4</x:v>
      </x:c>
      <x:c r="G333" s="24" t="n">
        <x:f>E333-F333</x:f>
        <x:v>-2.3999999999999986</x:v>
      </x:c>
      <x:c r="H333" s="24" t="n">
        <x:f>ABS(G333)</x:f>
        <x:v>2.3999999999999986</x:v>
      </x:c>
      <x:c r="I333" s="24" t="n">
        <x:f>G333^2</x:f>
        <x:v>5.759999999999994</x:v>
      </x:c>
    </x:row>
    <x:row r="334">
      <x:c r="A334" t="str">
        <x:v>C045</x:v>
      </x:c>
      <x:c r="B334" t="str">
        <x:v>P045</x:v>
      </x:c>
      <x:c r="C334" t="str">
        <x:v>DE_NI_2022</x:v>
      </x:c>
      <x:c r="D334" t="str">
        <x:v>GRÜNE</x:v>
      </x:c>
      <x:c r="E334" s="24" t="n">
        <x:v>16</x:v>
      </x:c>
      <x:c r="F334" s="24" t="n">
        <x:v>14.5</x:v>
      </x:c>
      <x:c r="G334" s="24" t="n">
        <x:f>E334-F334</x:f>
        <x:v>1.5</x:v>
      </x:c>
      <x:c r="H334" s="24" t="n">
        <x:f>ABS(G334)</x:f>
        <x:v>1.5</x:v>
      </x:c>
      <x:c r="I334" s="24" t="n">
        <x:f>G334^2</x:f>
        <x:v>2.25</x:v>
      </x:c>
    </x:row>
    <x:row r="335">
      <x:c r="A335" t="str">
        <x:v>C045</x:v>
      </x:c>
      <x:c r="B335" t="str">
        <x:v>P045</x:v>
      </x:c>
      <x:c r="C335" t="str">
        <x:v>DE_NI_2022</x:v>
      </x:c>
      <x:c r="D335" t="str">
        <x:v>FDP</x:v>
      </x:c>
      <x:c r="E335" s="24" t="n">
        <x:v>5</x:v>
      </x:c>
      <x:c r="F335" s="24" t="n">
        <x:v>4.7</x:v>
      </x:c>
      <x:c r="G335" s="24" t="n">
        <x:f>E335-F335</x:f>
        <x:v>0.2999999999999998</x:v>
      </x:c>
      <x:c r="H335" s="24" t="n">
        <x:f>ABS(G335)</x:f>
        <x:v>0.2999999999999998</x:v>
      </x:c>
      <x:c r="I335" s="24" t="n">
        <x:f>G335^2</x:f>
        <x:v>0.0899999999999999</x:v>
      </x:c>
    </x:row>
    <x:row r="336">
      <x:c r="A336" t="str">
        <x:v>C045</x:v>
      </x:c>
      <x:c r="B336" t="str">
        <x:v>P045</x:v>
      </x:c>
      <x:c r="C336" t="str">
        <x:v>DE_NI_2022</x:v>
      </x:c>
      <x:c r="D336" t="str">
        <x:v>LINKE</x:v>
      </x:c>
      <x:c r="E336" s="24" t="n">
        <x:v>4</x:v>
      </x:c>
      <x:c r="F336" s="24" t="n">
        <x:v>2.7</x:v>
      </x:c>
      <x:c r="G336" s="24" t="n">
        <x:f>E336-F336</x:f>
        <x:v>1.2999999999999998</x:v>
      </x:c>
      <x:c r="H336" s="24" t="n">
        <x:f>ABS(G336)</x:f>
        <x:v>1.2999999999999998</x:v>
      </x:c>
      <x:c r="I336" s="24" t="n">
        <x:f>G336^2</x:f>
        <x:v>1.6899999999999995</x:v>
      </x:c>
    </x:row>
    <x:row r="337">
      <x:c r="A337" t="str">
        <x:v>C045</x:v>
      </x:c>
      <x:c r="B337" t="str">
        <x:v>P045</x:v>
      </x:c>
      <x:c r="C337" t="str">
        <x:v>DE_NI_2022</x:v>
      </x:c>
      <x:c r="D337" t="str">
        <x:v>AfD</x:v>
      </x:c>
      <x:c r="E337" s="24" t="n">
        <x:v>11</x:v>
      </x:c>
      <x:c r="F337" s="24" t="n">
        <x:v>10.9</x:v>
      </x:c>
      <x:c r="G337" s="24" t="n">
        <x:f>E337-F337</x:f>
        <x:v>0.09999999999999964</x:v>
      </x:c>
      <x:c r="H337" s="24" t="n">
        <x:f>ABS(G337)</x:f>
        <x:v>0.09999999999999964</x:v>
      </x:c>
      <x:c r="I337" s="24" t="n">
        <x:f>G337^2</x:f>
        <x:v>0.009999999999999929</x:v>
      </x:c>
    </x:row>
    <x:row r="338">
      <x:c r="A338" t="str">
        <x:v>C045</x:v>
      </x:c>
      <x:c r="B338" t="str">
        <x:v>P045</x:v>
      </x:c>
      <x:c r="C338" t="str">
        <x:v>DE_NI_2022</x:v>
      </x:c>
      <x:c r="D338" t="str">
        <x:v>Sonstige</x:v>
      </x:c>
      <x:c r="E338" s="24" t="n">
        <x:v>5</x:v>
      </x:c>
      <x:c r="F338" s="24" t="n">
        <x:v>5.6</x:v>
      </x:c>
      <x:c r="G338" s="24" t="n">
        <x:f>E338-F338</x:f>
        <x:v>-0.5999999999999996</x:v>
      </x:c>
      <x:c r="H338" s="24" t="n">
        <x:f>ABS(G338)</x:f>
        <x:v>0.5999999999999996</x:v>
      </x:c>
      <x:c r="I338" s="24" t="n">
        <x:f>G338^2</x:f>
        <x:v>0.3599999999999996</x:v>
      </x:c>
    </x:row>
    <x:row r="339">
      <x:c r="A339" t="str">
        <x:v>C046</x:v>
      </x:c>
      <x:c r="B339" t="str">
        <x:v>P046</x:v>
      </x:c>
      <x:c r="C339" t="str">
        <x:v>DE_NI_2022</x:v>
      </x:c>
      <x:c r="D339" t="str">
        <x:v>CDU</x:v>
      </x:c>
      <x:c r="E339" s="24" t="n">
        <x:v>27</x:v>
      </x:c>
      <x:c r="F339" s="24" t="n">
        <x:v>28.1</x:v>
      </x:c>
      <x:c r="G339" s="24" t="n">
        <x:f>E339-F339</x:f>
        <x:v>-1.1000000000000014</x:v>
      </x:c>
      <x:c r="H339" s="24" t="n">
        <x:f>ABS(G339)</x:f>
        <x:v>1.1000000000000014</x:v>
      </x:c>
      <x:c r="I339" s="24" t="n">
        <x:f>G339^2</x:f>
        <x:v>1.210000000000003</x:v>
      </x:c>
    </x:row>
    <x:row r="340">
      <x:c r="A340" t="str">
        <x:v>C046</x:v>
      </x:c>
      <x:c r="B340" t="str">
        <x:v>P046</x:v>
      </x:c>
      <x:c r="C340" t="str">
        <x:v>DE_NI_2022</x:v>
      </x:c>
      <x:c r="D340" t="str">
        <x:v>SPD</x:v>
      </x:c>
      <x:c r="E340" s="24" t="n">
        <x:v>33</x:v>
      </x:c>
      <x:c r="F340" s="24" t="n">
        <x:v>33.4</x:v>
      </x:c>
      <x:c r="G340" s="24" t="n">
        <x:f>E340-F340</x:f>
        <x:v>-0.3999999999999986</x:v>
      </x:c>
      <x:c r="H340" s="24" t="n">
        <x:f>ABS(G340)</x:f>
        <x:v>0.3999999999999986</x:v>
      </x:c>
      <x:c r="I340" s="24" t="n">
        <x:f>G340^2</x:f>
        <x:v>0.15999999999999887</x:v>
      </x:c>
    </x:row>
    <x:row r="341">
      <x:c r="A341" t="str">
        <x:v>C046</x:v>
      </x:c>
      <x:c r="B341" t="str">
        <x:v>P046</x:v>
      </x:c>
      <x:c r="C341" t="str">
        <x:v>DE_NI_2022</x:v>
      </x:c>
      <x:c r="D341" t="str">
        <x:v>GRÜNE</x:v>
      </x:c>
      <x:c r="E341" s="24" t="n">
        <x:v>17</x:v>
      </x:c>
      <x:c r="F341" s="24" t="n">
        <x:v>14.5</x:v>
      </x:c>
      <x:c r="G341" s="24" t="n">
        <x:f>E341-F341</x:f>
        <x:v>2.5</x:v>
      </x:c>
      <x:c r="H341" s="24" t="n">
        <x:f>ABS(G341)</x:f>
        <x:v>2.5</x:v>
      </x:c>
      <x:c r="I341" s="24" t="n">
        <x:f>G341^2</x:f>
        <x:v>6.25</x:v>
      </x:c>
    </x:row>
    <x:row r="342">
      <x:c r="A342" t="str">
        <x:v>C046</x:v>
      </x:c>
      <x:c r="B342" t="str">
        <x:v>P046</x:v>
      </x:c>
      <x:c r="C342" t="str">
        <x:v>DE_NI_2022</x:v>
      </x:c>
      <x:c r="D342" t="str">
        <x:v>FDP</x:v>
      </x:c>
      <x:c r="E342" s="24" t="n">
        <x:v>5</x:v>
      </x:c>
      <x:c r="F342" s="24" t="n">
        <x:v>4.7</x:v>
      </x:c>
      <x:c r="G342" s="24" t="n">
        <x:f>E342-F342</x:f>
        <x:v>0.2999999999999998</x:v>
      </x:c>
      <x:c r="H342" s="24" t="n">
        <x:f>ABS(G342)</x:f>
        <x:v>0.2999999999999998</x:v>
      </x:c>
      <x:c r="I342" s="24" t="n">
        <x:f>G342^2</x:f>
        <x:v>0.0899999999999999</x:v>
      </x:c>
    </x:row>
    <x:row r="343">
      <x:c r="A343" t="str">
        <x:v>C046</x:v>
      </x:c>
      <x:c r="B343" t="str">
        <x:v>P046</x:v>
      </x:c>
      <x:c r="C343" t="str">
        <x:v>DE_NI_2022</x:v>
      </x:c>
      <x:c r="D343" t="str">
        <x:v>LINKE</x:v>
      </x:c>
      <x:c r="E343" s="24" t="n">
        <x:v>3</x:v>
      </x:c>
      <x:c r="F343" s="24" t="n">
        <x:v>2.7</x:v>
      </x:c>
      <x:c r="G343" s="24" t="n">
        <x:f>E343-F343</x:f>
        <x:v>0.2999999999999998</x:v>
      </x:c>
      <x:c r="H343" s="24" t="n">
        <x:f>ABS(G343)</x:f>
        <x:v>0.2999999999999998</x:v>
      </x:c>
      <x:c r="I343" s="24" t="n">
        <x:f>G343^2</x:f>
        <x:v>0.0899999999999999</x:v>
      </x:c>
    </x:row>
    <x:row r="344">
      <x:c r="A344" t="str">
        <x:v>C046</x:v>
      </x:c>
      <x:c r="B344" t="str">
        <x:v>P046</x:v>
      </x:c>
      <x:c r="C344" t="str">
        <x:v>DE_NI_2022</x:v>
      </x:c>
      <x:c r="D344" t="str">
        <x:v>AfD</x:v>
      </x:c>
      <x:c r="E344" s="24" t="n">
        <x:v>9</x:v>
      </x:c>
      <x:c r="F344" s="24" t="n">
        <x:v>10.9</x:v>
      </x:c>
      <x:c r="G344" s="24" t="n">
        <x:f>E344-F344</x:f>
        <x:v>-1.9000000000000004</x:v>
      </x:c>
      <x:c r="H344" s="24" t="n">
        <x:f>ABS(G344)</x:f>
        <x:v>1.9000000000000004</x:v>
      </x:c>
      <x:c r="I344" s="24" t="n">
        <x:f>G344^2</x:f>
        <x:v>3.610000000000001</x:v>
      </x:c>
    </x:row>
    <x:row r="345">
      <x:c r="A345" t="str">
        <x:v>C046</x:v>
      </x:c>
      <x:c r="B345" t="str">
        <x:v>P046</x:v>
      </x:c>
      <x:c r="C345" t="str">
        <x:v>DE_NI_2022</x:v>
      </x:c>
      <x:c r="D345" t="str">
        <x:v>Sonstige</x:v>
      </x:c>
      <x:c r="E345" s="24" t="n">
        <x:v>6</x:v>
      </x:c>
      <x:c r="F345" s="24" t="n">
        <x:v>5.6</x:v>
      </x:c>
      <x:c r="G345" s="24" t="n">
        <x:f>E345-F345</x:f>
        <x:v>0.40000000000000036</x:v>
      </x:c>
      <x:c r="H345" s="24" t="n">
        <x:f>ABS(G345)</x:f>
        <x:v>0.40000000000000036</x:v>
      </x:c>
      <x:c r="I345" s="24" t="n">
        <x:f>G345^2</x:f>
        <x:v>0.16000000000000028</x:v>
      </x:c>
    </x:row>
    <x:row r="346">
      <x:c r="A346" t="str">
        <x:v>C047</x:v>
      </x:c>
      <x:c r="B346" t="str">
        <x:v>P047</x:v>
      </x:c>
      <x:c r="C346" t="str">
        <x:v>DE_NI_2022</x:v>
      </x:c>
      <x:c r="D346" t="str">
        <x:v>CDU</x:v>
      </x:c>
      <x:c r="E346" s="24" t="n">
        <x:v>30</x:v>
      </x:c>
      <x:c r="F346" s="24" t="n">
        <x:v>28.1</x:v>
      </x:c>
      <x:c r="G346" s="24" t="n">
        <x:f>E346-F346</x:f>
        <x:v>1.8999999999999986</x:v>
      </x:c>
      <x:c r="H346" s="24" t="n">
        <x:f>ABS(G346)</x:f>
        <x:v>1.8999999999999986</x:v>
      </x:c>
      <x:c r="I346" s="24" t="n">
        <x:f>G346^2</x:f>
        <x:v>3.6099999999999945</x:v>
      </x:c>
    </x:row>
    <x:row r="347">
      <x:c r="A347" t="str">
        <x:v>C047</x:v>
      </x:c>
      <x:c r="B347" t="str">
        <x:v>P047</x:v>
      </x:c>
      <x:c r="C347" t="str">
        <x:v>DE_NI_2022</x:v>
      </x:c>
      <x:c r="D347" t="str">
        <x:v>SPD</x:v>
      </x:c>
      <x:c r="E347" s="24" t="n">
        <x:v>32</x:v>
      </x:c>
      <x:c r="F347" s="24" t="n">
        <x:v>33.4</x:v>
      </x:c>
      <x:c r="G347" s="24" t="n">
        <x:f>E347-F347</x:f>
        <x:v>-1.3999999999999986</x:v>
      </x:c>
      <x:c r="H347" s="24" t="n">
        <x:f>ABS(G347)</x:f>
        <x:v>1.3999999999999986</x:v>
      </x:c>
      <x:c r="I347" s="24" t="n">
        <x:f>G347^2</x:f>
        <x:v>1.959999999999996</x:v>
      </x:c>
    </x:row>
    <x:row r="348">
      <x:c r="A348" t="str">
        <x:v>C047</x:v>
      </x:c>
      <x:c r="B348" t="str">
        <x:v>P047</x:v>
      </x:c>
      <x:c r="C348" t="str">
        <x:v>DE_NI_2022</x:v>
      </x:c>
      <x:c r="D348" t="str">
        <x:v>GRÜNE</x:v>
      </x:c>
      <x:c r="E348" s="24" t="n">
        <x:v>16</x:v>
      </x:c>
      <x:c r="F348" s="24" t="n">
        <x:v>14.5</x:v>
      </x:c>
      <x:c r="G348" s="24" t="n">
        <x:f>E348-F348</x:f>
        <x:v>1.5</x:v>
      </x:c>
      <x:c r="H348" s="24" t="n">
        <x:f>ABS(G348)</x:f>
        <x:v>1.5</x:v>
      </x:c>
      <x:c r="I348" s="24" t="n">
        <x:f>G348^2</x:f>
        <x:v>2.25</x:v>
      </x:c>
    </x:row>
    <x:row r="349">
      <x:c r="A349" t="str">
        <x:v>C047</x:v>
      </x:c>
      <x:c r="B349" t="str">
        <x:v>P047</x:v>
      </x:c>
      <x:c r="C349" t="str">
        <x:v>DE_NI_2022</x:v>
      </x:c>
      <x:c r="D349" t="str">
        <x:v>FDP</x:v>
      </x:c>
      <x:c r="E349" s="24" t="n">
        <x:v>5</x:v>
      </x:c>
      <x:c r="F349" s="24" t="n">
        <x:v>4.7</x:v>
      </x:c>
      <x:c r="G349" s="24" t="n">
        <x:f>E349-F349</x:f>
        <x:v>0.2999999999999998</x:v>
      </x:c>
      <x:c r="H349" s="24" t="n">
        <x:f>ABS(G349)</x:f>
        <x:v>0.2999999999999998</x:v>
      </x:c>
      <x:c r="I349" s="24" t="n">
        <x:f>G349^2</x:f>
        <x:v>0.0899999999999999</x:v>
      </x:c>
    </x:row>
    <x:row r="350">
      <x:c r="A350" t="str">
        <x:v>C047</x:v>
      </x:c>
      <x:c r="B350" t="str">
        <x:v>P047</x:v>
      </x:c>
      <x:c r="C350" t="str">
        <x:v>DE_NI_2022</x:v>
      </x:c>
      <x:c r="D350" t="str">
        <x:v>LINKE</x:v>
      </x:c>
      <x:c r="E350" s="24" t="n">
        <x:v>3</x:v>
      </x:c>
      <x:c r="F350" s="24" t="n">
        <x:v>2.7</x:v>
      </x:c>
      <x:c r="G350" s="24" t="n">
        <x:f>E350-F350</x:f>
        <x:v>0.2999999999999998</x:v>
      </x:c>
      <x:c r="H350" s="24" t="n">
        <x:f>ABS(G350)</x:f>
        <x:v>0.2999999999999998</x:v>
      </x:c>
      <x:c r="I350" s="24" t="n">
        <x:f>G350^2</x:f>
        <x:v>0.0899999999999999</x:v>
      </x:c>
    </x:row>
    <x:row r="351">
      <x:c r="A351" t="str">
        <x:v>C047</x:v>
      </x:c>
      <x:c r="B351" t="str">
        <x:v>P047</x:v>
      </x:c>
      <x:c r="C351" t="str">
        <x:v>DE_NI_2022</x:v>
      </x:c>
      <x:c r="D351" t="str">
        <x:v>AfD</x:v>
      </x:c>
      <x:c r="E351" s="24" t="n">
        <x:v>9</x:v>
      </x:c>
      <x:c r="F351" s="24" t="n">
        <x:v>10.9</x:v>
      </x:c>
      <x:c r="G351" s="24" t="n">
        <x:f>E351-F351</x:f>
        <x:v>-1.9000000000000004</x:v>
      </x:c>
      <x:c r="H351" s="24" t="n">
        <x:f>ABS(G351)</x:f>
        <x:v>1.9000000000000004</x:v>
      </x:c>
      <x:c r="I351" s="24" t="n">
        <x:f>G351^2</x:f>
        <x:v>3.610000000000001</x:v>
      </x:c>
    </x:row>
    <x:row r="352">
      <x:c r="A352" t="str">
        <x:v>C047</x:v>
      </x:c>
      <x:c r="B352" t="str">
        <x:v>P047</x:v>
      </x:c>
      <x:c r="C352" t="str">
        <x:v>DE_NI_2022</x:v>
      </x:c>
      <x:c r="D352" t="str">
        <x:v>Sonstige</x:v>
      </x:c>
      <x:c r="E352" s="24" t="n">
        <x:v>5</x:v>
      </x:c>
      <x:c r="F352" s="24" t="n">
        <x:v>5.6</x:v>
      </x:c>
      <x:c r="G352" s="24" t="n">
        <x:f>E352-F352</x:f>
        <x:v>-0.5999999999999996</x:v>
      </x:c>
      <x:c r="H352" s="24" t="n">
        <x:f>ABS(G352)</x:f>
        <x:v>0.5999999999999996</x:v>
      </x:c>
      <x:c r="I352" s="24" t="n">
        <x:f>G352^2</x:f>
        <x:v>0.3599999999999996</x:v>
      </x:c>
    </x:row>
    <x:row r="353">
      <x:c r="A353" t="str">
        <x:v>C048</x:v>
      </x:c>
      <x:c r="B353" t="str">
        <x:v>P048</x:v>
      </x:c>
      <x:c r="C353" t="str">
        <x:v>DE_NI_2022</x:v>
      </x:c>
      <x:c r="D353" t="str">
        <x:v>CDU</x:v>
      </x:c>
      <x:c r="E353" s="24" t="n">
        <x:v>27</x:v>
      </x:c>
      <x:c r="F353" s="24" t="n">
        <x:v>28.1</x:v>
      </x:c>
      <x:c r="G353" s="24" t="n">
        <x:f>E353-F353</x:f>
        <x:v>-1.1000000000000014</x:v>
      </x:c>
      <x:c r="H353" s="24" t="n">
        <x:f>ABS(G353)</x:f>
        <x:v>1.1000000000000014</x:v>
      </x:c>
      <x:c r="I353" s="24" t="n">
        <x:f>G353^2</x:f>
        <x:v>1.210000000000003</x:v>
      </x:c>
    </x:row>
    <x:row r="354">
      <x:c r="A354" t="str">
        <x:v>C048</x:v>
      </x:c>
      <x:c r="B354" t="str">
        <x:v>P048</x:v>
      </x:c>
      <x:c r="C354" t="str">
        <x:v>DE_NI_2022</x:v>
      </x:c>
      <x:c r="D354" t="str">
        <x:v>SPD</x:v>
      </x:c>
      <x:c r="E354" s="24" t="n">
        <x:v>33</x:v>
      </x:c>
      <x:c r="F354" s="24" t="n">
        <x:v>33.4</x:v>
      </x:c>
      <x:c r="G354" s="24" t="n">
        <x:f>E354-F354</x:f>
        <x:v>-0.3999999999999986</x:v>
      </x:c>
      <x:c r="H354" s="24" t="n">
        <x:f>ABS(G354)</x:f>
        <x:v>0.3999999999999986</x:v>
      </x:c>
      <x:c r="I354" s="24" t="n">
        <x:f>G354^2</x:f>
        <x:v>0.15999999999999887</x:v>
      </x:c>
    </x:row>
    <x:row r="355">
      <x:c r="A355" t="str">
        <x:v>C048</x:v>
      </x:c>
      <x:c r="B355" t="str">
        <x:v>P048</x:v>
      </x:c>
      <x:c r="C355" t="str">
        <x:v>DE_NI_2022</x:v>
      </x:c>
      <x:c r="D355" t="str">
        <x:v>GRÜNE</x:v>
      </x:c>
      <x:c r="E355" s="24" t="n">
        <x:v>17</x:v>
      </x:c>
      <x:c r="F355" s="24" t="n">
        <x:v>14.5</x:v>
      </x:c>
      <x:c r="G355" s="24" t="n">
        <x:f>E355-F355</x:f>
        <x:v>2.5</x:v>
      </x:c>
      <x:c r="H355" s="24" t="n">
        <x:f>ABS(G355)</x:f>
        <x:v>2.5</x:v>
      </x:c>
      <x:c r="I355" s="24" t="n">
        <x:f>G355^2</x:f>
        <x:v>6.25</x:v>
      </x:c>
    </x:row>
    <x:row r="356">
      <x:c r="A356" t="str">
        <x:v>C048</x:v>
      </x:c>
      <x:c r="B356" t="str">
        <x:v>P048</x:v>
      </x:c>
      <x:c r="C356" t="str">
        <x:v>DE_NI_2022</x:v>
      </x:c>
      <x:c r="D356" t="str">
        <x:v>FDP</x:v>
      </x:c>
      <x:c r="E356" s="24" t="n">
        <x:v>5</x:v>
      </x:c>
      <x:c r="F356" s="24" t="n">
        <x:v>4.7</x:v>
      </x:c>
      <x:c r="G356" s="24" t="n">
        <x:f>E356-F356</x:f>
        <x:v>0.2999999999999998</x:v>
      </x:c>
      <x:c r="H356" s="24" t="n">
        <x:f>ABS(G356)</x:f>
        <x:v>0.2999999999999998</x:v>
      </x:c>
      <x:c r="I356" s="24" t="n">
        <x:f>G356^2</x:f>
        <x:v>0.0899999999999999</x:v>
      </x:c>
    </x:row>
    <x:row r="357">
      <x:c r="A357" t="str">
        <x:v>C048</x:v>
      </x:c>
      <x:c r="B357" t="str">
        <x:v>P048</x:v>
      </x:c>
      <x:c r="C357" t="str">
        <x:v>DE_NI_2022</x:v>
      </x:c>
      <x:c r="D357" t="str">
        <x:v>LINKE</x:v>
      </x:c>
      <x:c r="E357" s="24" t="n">
        <x:v>4</x:v>
      </x:c>
      <x:c r="F357" s="24" t="n">
        <x:v>2.7</x:v>
      </x:c>
      <x:c r="G357" s="24" t="n">
        <x:f>E357-F357</x:f>
        <x:v>1.2999999999999998</x:v>
      </x:c>
      <x:c r="H357" s="24" t="n">
        <x:f>ABS(G357)</x:f>
        <x:v>1.2999999999999998</x:v>
      </x:c>
      <x:c r="I357" s="24" t="n">
        <x:f>G357^2</x:f>
        <x:v>1.6899999999999995</x:v>
      </x:c>
    </x:row>
    <x:row r="358">
      <x:c r="A358" t="str">
        <x:v>C048</x:v>
      </x:c>
      <x:c r="B358" t="str">
        <x:v>P048</x:v>
      </x:c>
      <x:c r="C358" t="str">
        <x:v>DE_NI_2022</x:v>
      </x:c>
      <x:c r="D358" t="str">
        <x:v>AfD</x:v>
      </x:c>
      <x:c r="E358" s="24" t="n">
        <x:v>10</x:v>
      </x:c>
      <x:c r="F358" s="24" t="n">
        <x:v>10.9</x:v>
      </x:c>
      <x:c r="G358" s="24" t="n">
        <x:f>E358-F358</x:f>
        <x:v>-0.9000000000000004</x:v>
      </x:c>
      <x:c r="H358" s="24" t="n">
        <x:f>ABS(G358)</x:f>
        <x:v>0.9000000000000004</x:v>
      </x:c>
      <x:c r="I358" s="24" t="n">
        <x:f>G358^2</x:f>
        <x:v>0.8100000000000006</x:v>
      </x:c>
    </x:row>
    <x:row r="359">
      <x:c r="A359" t="str">
        <x:v>C048</x:v>
      </x:c>
      <x:c r="B359" t="str">
        <x:v>P048</x:v>
      </x:c>
      <x:c r="C359" t="str">
        <x:v>DE_NI_2022</x:v>
      </x:c>
      <x:c r="D359" t="str">
        <x:v>Sonstige</x:v>
      </x:c>
      <x:c r="E359" s="24" t="n">
        <x:v>4</x:v>
      </x:c>
      <x:c r="F359" s="24" t="n">
        <x:v>5.6</x:v>
      </x:c>
      <x:c r="G359" s="24" t="n">
        <x:f>E359-F359</x:f>
        <x:v>-1.5999999999999996</x:v>
      </x:c>
      <x:c r="H359" s="24" t="n">
        <x:f>ABS(G359)</x:f>
        <x:v>1.5999999999999996</x:v>
      </x:c>
      <x:c r="I359" s="24" t="n">
        <x:f>G359^2</x:f>
        <x:v>2.5599999999999987</x:v>
      </x:c>
    </x:row>
    <x:row r="360">
      <x:c r="A360" t="str">
        <x:v>C049</x:v>
      </x:c>
      <x:c r="B360" t="str">
        <x:v>P049</x:v>
      </x:c>
      <x:c r="C360" t="str">
        <x:v>DE_SH_2022</x:v>
      </x:c>
      <x:c r="D360" t="str">
        <x:v>CDU</x:v>
      </x:c>
      <x:c r="E360" s="24" t="n">
        <x:v>38</x:v>
      </x:c>
      <x:c r="F360" s="24" t="n">
        <x:v>43.4</x:v>
      </x:c>
      <x:c r="G360" s="24" t="n">
        <x:f>E360-F360</x:f>
        <x:v>-5.399999999999999</x:v>
      </x:c>
      <x:c r="H360" s="24" t="n">
        <x:f>ABS(G360)</x:f>
        <x:v>5.399999999999999</x:v>
      </x:c>
      <x:c r="I360" s="24" t="n">
        <x:f>G360^2</x:f>
        <x:v>29.159999999999986</x:v>
      </x:c>
    </x:row>
    <x:row r="361">
      <x:c r="A361" t="str">
        <x:v>C049</x:v>
      </x:c>
      <x:c r="B361" t="str">
        <x:v>P049</x:v>
      </x:c>
      <x:c r="C361" t="str">
        <x:v>DE_SH_2022</x:v>
      </x:c>
      <x:c r="D361" t="str">
        <x:v>SPD</x:v>
      </x:c>
      <x:c r="E361" s="24" t="n">
        <x:v>18</x:v>
      </x:c>
      <x:c r="F361" s="24" t="n">
        <x:v>16</x:v>
      </x:c>
      <x:c r="G361" s="24" t="n">
        <x:f>E361-F361</x:f>
        <x:v>2</x:v>
      </x:c>
      <x:c r="H361" s="24" t="n">
        <x:f>ABS(G361)</x:f>
        <x:v>2</x:v>
      </x:c>
      <x:c r="I361" s="24" t="n">
        <x:f>G361^2</x:f>
        <x:v>4</x:v>
      </x:c>
    </x:row>
    <x:row r="362">
      <x:c r="A362" t="str">
        <x:v>C049</x:v>
      </x:c>
      <x:c r="B362" t="str">
        <x:v>P049</x:v>
      </x:c>
      <x:c r="C362" t="str">
        <x:v>DE_SH_2022</x:v>
      </x:c>
      <x:c r="D362" t="str">
        <x:v>GRÜNE</x:v>
      </x:c>
      <x:c r="E362" s="24" t="n">
        <x:v>18</x:v>
      </x:c>
      <x:c r="F362" s="24" t="n">
        <x:v>18.3</x:v>
      </x:c>
      <x:c r="G362" s="24" t="n">
        <x:f>E362-F362</x:f>
        <x:v>-0.3000000000000007</x:v>
      </x:c>
      <x:c r="H362" s="24" t="n">
        <x:f>ABS(G362)</x:f>
        <x:v>0.3000000000000007</x:v>
      </x:c>
      <x:c r="I362" s="24" t="n">
        <x:f>G362^2</x:f>
        <x:v>0.09000000000000043</x:v>
      </x:c>
    </x:row>
    <x:row r="363">
      <x:c r="A363" t="str">
        <x:v>C049</x:v>
      </x:c>
      <x:c r="B363" t="str">
        <x:v>P049</x:v>
      </x:c>
      <x:c r="C363" t="str">
        <x:v>DE_SH_2022</x:v>
      </x:c>
      <x:c r="D363" t="str">
        <x:v>FDP</x:v>
      </x:c>
      <x:c r="E363" s="24" t="n">
        <x:v>8</x:v>
      </x:c>
      <x:c r="F363" s="24" t="n">
        <x:v>6.4</x:v>
      </x:c>
      <x:c r="G363" s="24" t="n">
        <x:f>E363-F363</x:f>
        <x:v>1.5999999999999996</x:v>
      </x:c>
      <x:c r="H363" s="24" t="n">
        <x:f>ABS(G363)</x:f>
        <x:v>1.5999999999999996</x:v>
      </x:c>
      <x:c r="I363" s="24" t="n">
        <x:f>G363^2</x:f>
        <x:v>2.5599999999999987</x:v>
      </x:c>
    </x:row>
    <x:row r="364">
      <x:c r="A364" t="str">
        <x:v>C049</x:v>
      </x:c>
      <x:c r="B364" t="str">
        <x:v>P049</x:v>
      </x:c>
      <x:c r="C364" t="str">
        <x:v>DE_SH_2022</x:v>
      </x:c>
      <x:c r="D364" t="str">
        <x:v>SSW</x:v>
      </x:c>
      <x:c r="E364" s="24" t="n">
        <x:v>6</x:v>
      </x:c>
      <x:c r="F364" s="24" t="n">
        <x:v>5.7</x:v>
      </x:c>
      <x:c r="G364" s="24" t="n">
        <x:f>E364-F364</x:f>
        <x:v>0.2999999999999998</x:v>
      </x:c>
      <x:c r="H364" s="24" t="n">
        <x:f>ABS(G364)</x:f>
        <x:v>0.2999999999999998</x:v>
      </x:c>
      <x:c r="I364" s="24" t="n">
        <x:f>G364^2</x:f>
        <x:v>0.0899999999999999</x:v>
      </x:c>
    </x:row>
    <x:row r="365">
      <x:c r="A365" t="str">
        <x:v>C049</x:v>
      </x:c>
      <x:c r="B365" t="str">
        <x:v>P049</x:v>
      </x:c>
      <x:c r="C365" t="str">
        <x:v>DE_SH_2022</x:v>
      </x:c>
      <x:c r="D365" t="str">
        <x:v>AfD</x:v>
      </x:c>
      <x:c r="E365" s="24" t="n">
        <x:v>6</x:v>
      </x:c>
      <x:c r="F365" s="24" t="n">
        <x:v>4.4</x:v>
      </x:c>
      <x:c r="G365" s="24" t="n">
        <x:f>E365-F365</x:f>
        <x:v>1.5999999999999996</x:v>
      </x:c>
      <x:c r="H365" s="24" t="n">
        <x:f>ABS(G365)</x:f>
        <x:v>1.5999999999999996</x:v>
      </x:c>
      <x:c r="I365" s="24" t="n">
        <x:f>G365^2</x:f>
        <x:v>2.5599999999999987</x:v>
      </x:c>
    </x:row>
    <x:row r="366">
      <x:c r="A366" t="str">
        <x:v>C049</x:v>
      </x:c>
      <x:c r="B366" t="str">
        <x:v>P049</x:v>
      </x:c>
      <x:c r="C366" t="str">
        <x:v>DE_SH_2022</x:v>
      </x:c>
      <x:c r="D366" t="str">
        <x:v>Sonstige inkl. LINKE</x:v>
      </x:c>
      <x:c r="E366" s="24" t="n">
        <x:v>6</x:v>
      </x:c>
      <x:c r="F366" s="24" t="n">
        <x:v>5.9</x:v>
      </x:c>
      <x:c r="G366" s="24" t="n">
        <x:f>E366-F366</x:f>
        <x:v>0.09999999999999964</x:v>
      </x:c>
      <x:c r="H366" s="24" t="n">
        <x:f>ABS(G366)</x:f>
        <x:v>0.09999999999999964</x:v>
      </x:c>
      <x:c r="I366" s="24" t="n">
        <x:f>G366^2</x:f>
        <x:v>0.009999999999999929</x:v>
      </x:c>
    </x:row>
    <x:row r="367">
      <x:c r="A367" t="str">
        <x:v>C050</x:v>
      </x:c>
      <x:c r="B367" t="str">
        <x:v>P050</x:v>
      </x:c>
      <x:c r="C367" t="str">
        <x:v>DE_SH_2022</x:v>
      </x:c>
      <x:c r="D367" t="str">
        <x:v>CDU</x:v>
      </x:c>
      <x:c r="E367" s="24" t="n">
        <x:v>40</x:v>
      </x:c>
      <x:c r="F367" s="24" t="n">
        <x:v>43.4</x:v>
      </x:c>
      <x:c r="G367" s="24" t="n">
        <x:f>E367-F367</x:f>
        <x:v>-3.3999999999999986</x:v>
      </x:c>
      <x:c r="H367" s="24" t="n">
        <x:f>ABS(G367)</x:f>
        <x:v>3.3999999999999986</x:v>
      </x:c>
      <x:c r="I367" s="24" t="n">
        <x:f>G367^2</x:f>
        <x:v>11.55999999999999</x:v>
      </x:c>
    </x:row>
    <x:row r="368">
      <x:c r="A368" t="str">
        <x:v>C050</x:v>
      </x:c>
      <x:c r="B368" t="str">
        <x:v>P050</x:v>
      </x:c>
      <x:c r="C368" t="str">
        <x:v>DE_SH_2022</x:v>
      </x:c>
      <x:c r="D368" t="str">
        <x:v>SPD</x:v>
      </x:c>
      <x:c r="E368" s="24" t="n">
        <x:v>20</x:v>
      </x:c>
      <x:c r="F368" s="24" t="n">
        <x:v>16</x:v>
      </x:c>
      <x:c r="G368" s="24" t="n">
        <x:f>E368-F368</x:f>
        <x:v>4</x:v>
      </x:c>
      <x:c r="H368" s="24" t="n">
        <x:f>ABS(G368)</x:f>
        <x:v>4</x:v>
      </x:c>
      <x:c r="I368" s="24" t="n">
        <x:f>G368^2</x:f>
        <x:v>16</x:v>
      </x:c>
    </x:row>
    <x:row r="369">
      <x:c r="A369" t="str">
        <x:v>C050</x:v>
      </x:c>
      <x:c r="B369" t="str">
        <x:v>P050</x:v>
      </x:c>
      <x:c r="C369" t="str">
        <x:v>DE_SH_2022</x:v>
      </x:c>
      <x:c r="D369" t="str">
        <x:v>GRÜNE</x:v>
      </x:c>
      <x:c r="E369" s="24" t="n">
        <x:v>15</x:v>
      </x:c>
      <x:c r="F369" s="24" t="n">
        <x:v>18.3</x:v>
      </x:c>
      <x:c r="G369" s="24" t="n">
        <x:f>E369-F369</x:f>
        <x:v>-3.3000000000000007</x:v>
      </x:c>
      <x:c r="H369" s="24" t="n">
        <x:f>ABS(G369)</x:f>
        <x:v>3.3000000000000007</x:v>
      </x:c>
      <x:c r="I369" s="24" t="n">
        <x:f>G369^2</x:f>
        <x:v>10.890000000000004</x:v>
      </x:c>
    </x:row>
    <x:row r="370">
      <x:c r="A370" t="str">
        <x:v>C050</x:v>
      </x:c>
      <x:c r="B370" t="str">
        <x:v>P050</x:v>
      </x:c>
      <x:c r="C370" t="str">
        <x:v>DE_SH_2022</x:v>
      </x:c>
      <x:c r="D370" t="str">
        <x:v>FDP</x:v>
      </x:c>
      <x:c r="E370" s="24" t="n">
        <x:v>7</x:v>
      </x:c>
      <x:c r="F370" s="24" t="n">
        <x:v>6.4</x:v>
      </x:c>
      <x:c r="G370" s="24" t="n">
        <x:f>E370-F370</x:f>
        <x:v>0.5999999999999996</x:v>
      </x:c>
      <x:c r="H370" s="24" t="n">
        <x:f>ABS(G370)</x:f>
        <x:v>0.5999999999999996</x:v>
      </x:c>
      <x:c r="I370" s="24" t="n">
        <x:f>G370^2</x:f>
        <x:v>0.3599999999999996</x:v>
      </x:c>
    </x:row>
    <x:row r="371">
      <x:c r="A371" t="str">
        <x:v>C050</x:v>
      </x:c>
      <x:c r="B371" t="str">
        <x:v>P050</x:v>
      </x:c>
      <x:c r="C371" t="str">
        <x:v>DE_SH_2022</x:v>
      </x:c>
      <x:c r="D371" t="str">
        <x:v>SSW</x:v>
      </x:c>
      <x:c r="E371" s="24" t="n">
        <x:v>5</x:v>
      </x:c>
      <x:c r="F371" s="24" t="n">
        <x:v>5.7</x:v>
      </x:c>
      <x:c r="G371" s="24" t="n">
        <x:f>E371-F371</x:f>
        <x:v>-0.7000000000000002</x:v>
      </x:c>
      <x:c r="H371" s="24" t="n">
        <x:f>ABS(G371)</x:f>
        <x:v>0.7000000000000002</x:v>
      </x:c>
      <x:c r="I371" s="24" t="n">
        <x:f>G371^2</x:f>
        <x:v>0.49000000000000027</x:v>
      </x:c>
    </x:row>
    <x:row r="372">
      <x:c r="A372" t="str">
        <x:v>C050</x:v>
      </x:c>
      <x:c r="B372" t="str">
        <x:v>P050</x:v>
      </x:c>
      <x:c r="C372" t="str">
        <x:v>DE_SH_2022</x:v>
      </x:c>
      <x:c r="D372" t="str">
        <x:v>AfD</x:v>
      </x:c>
      <x:c r="E372" s="24" t="n">
        <x:v>6</x:v>
      </x:c>
      <x:c r="F372" s="24" t="n">
        <x:v>4.4</x:v>
      </x:c>
      <x:c r="G372" s="24" t="n">
        <x:f>E372-F372</x:f>
        <x:v>1.5999999999999996</x:v>
      </x:c>
      <x:c r="H372" s="24" t="n">
        <x:f>ABS(G372)</x:f>
        <x:v>1.5999999999999996</x:v>
      </x:c>
      <x:c r="I372" s="24" t="n">
        <x:f>G372^2</x:f>
        <x:v>2.5599999999999987</x:v>
      </x:c>
    </x:row>
    <x:row r="373">
      <x:c r="A373" t="str">
        <x:v>C050</x:v>
      </x:c>
      <x:c r="B373" t="str">
        <x:v>P050</x:v>
      </x:c>
      <x:c r="C373" t="str">
        <x:v>DE_SH_2022</x:v>
      </x:c>
      <x:c r="D373" t="str">
        <x:v>Sonstige inkl. LINKE</x:v>
      </x:c>
      <x:c r="E373" s="24" t="n">
        <x:v>7</x:v>
      </x:c>
      <x:c r="F373" s="24" t="n">
        <x:v>5.9</x:v>
      </x:c>
      <x:c r="G373" s="24" t="n">
        <x:f>E373-F373</x:f>
        <x:v>1.0999999999999996</x:v>
      </x:c>
      <x:c r="H373" s="24" t="n">
        <x:f>ABS(G373)</x:f>
        <x:v>1.0999999999999996</x:v>
      </x:c>
      <x:c r="I373" s="24" t="n">
        <x:f>G373^2</x:f>
        <x:v>1.2099999999999993</x:v>
      </x:c>
    </x:row>
    <x:row r="374">
      <x:c r="A374" t="str">
        <x:v>C051</x:v>
      </x:c>
      <x:c r="B374" t="str">
        <x:v>P051</x:v>
      </x:c>
      <x:c r="C374" t="str">
        <x:v>DE_SH_2022</x:v>
      </x:c>
      <x:c r="D374" t="str">
        <x:v>CDU</x:v>
      </x:c>
      <x:c r="E374" s="24" t="n">
        <x:v>38</x:v>
      </x:c>
      <x:c r="F374" s="24" t="n">
        <x:v>43.4</x:v>
      </x:c>
      <x:c r="G374" s="24" t="n">
        <x:f>E374-F374</x:f>
        <x:v>-5.399999999999999</x:v>
      </x:c>
      <x:c r="H374" s="24" t="n">
        <x:f>ABS(G374)</x:f>
        <x:v>5.399999999999999</x:v>
      </x:c>
      <x:c r="I374" s="24" t="n">
        <x:f>G374^2</x:f>
        <x:v>29.159999999999986</x:v>
      </x:c>
    </x:row>
    <x:row r="375">
      <x:c r="A375" t="str">
        <x:v>C051</x:v>
      </x:c>
      <x:c r="B375" t="str">
        <x:v>P051</x:v>
      </x:c>
      <x:c r="C375" t="str">
        <x:v>DE_SH_2022</x:v>
      </x:c>
      <x:c r="D375" t="str">
        <x:v>SPD</x:v>
      </x:c>
      <x:c r="E375" s="24" t="n">
        <x:v>19</x:v>
      </x:c>
      <x:c r="F375" s="24" t="n">
        <x:v>16</x:v>
      </x:c>
      <x:c r="G375" s="24" t="n">
        <x:f>E375-F375</x:f>
        <x:v>3</x:v>
      </x:c>
      <x:c r="H375" s="24" t="n">
        <x:f>ABS(G375)</x:f>
        <x:v>3</x:v>
      </x:c>
      <x:c r="I375" s="24" t="n">
        <x:f>G375^2</x:f>
        <x:v>9</x:v>
      </x:c>
    </x:row>
    <x:row r="376">
      <x:c r="A376" t="str">
        <x:v>C051</x:v>
      </x:c>
      <x:c r="B376" t="str">
        <x:v>P051</x:v>
      </x:c>
      <x:c r="C376" t="str">
        <x:v>DE_SH_2022</x:v>
      </x:c>
      <x:c r="D376" t="str">
        <x:v>GRÜNE</x:v>
      </x:c>
      <x:c r="E376" s="24" t="n">
        <x:v>16</x:v>
      </x:c>
      <x:c r="F376" s="24" t="n">
        <x:v>18.3</x:v>
      </x:c>
      <x:c r="G376" s="24" t="n">
        <x:f>E376-F376</x:f>
        <x:v>-2.3000000000000007</x:v>
      </x:c>
      <x:c r="H376" s="24" t="n">
        <x:f>ABS(G376)</x:f>
        <x:v>2.3000000000000007</x:v>
      </x:c>
      <x:c r="I376" s="24" t="n">
        <x:f>G376^2</x:f>
        <x:v>5.290000000000004</x:v>
      </x:c>
    </x:row>
    <x:row r="377">
      <x:c r="A377" t="str">
        <x:v>C051</x:v>
      </x:c>
      <x:c r="B377" t="str">
        <x:v>P051</x:v>
      </x:c>
      <x:c r="C377" t="str">
        <x:v>DE_SH_2022</x:v>
      </x:c>
      <x:c r="D377" t="str">
        <x:v>FDP</x:v>
      </x:c>
      <x:c r="E377" s="24" t="n">
        <x:v>9</x:v>
      </x:c>
      <x:c r="F377" s="24" t="n">
        <x:v>6.4</x:v>
      </x:c>
      <x:c r="G377" s="24" t="n">
        <x:f>E377-F377</x:f>
        <x:v>2.5999999999999996</x:v>
      </x:c>
      <x:c r="H377" s="24" t="n">
        <x:f>ABS(G377)</x:f>
        <x:v>2.5999999999999996</x:v>
      </x:c>
      <x:c r="I377" s="24" t="n">
        <x:f>G377^2</x:f>
        <x:v>6.759999999999998</x:v>
      </x:c>
    </x:row>
    <x:row r="378">
      <x:c r="A378" t="str">
        <x:v>C051</x:v>
      </x:c>
      <x:c r="B378" t="str">
        <x:v>P051</x:v>
      </x:c>
      <x:c r="C378" t="str">
        <x:v>DE_SH_2022</x:v>
      </x:c>
      <x:c r="D378" t="str">
        <x:v>SSW</x:v>
      </x:c>
      <x:c r="E378" s="24" t="n">
        <x:v>5</x:v>
      </x:c>
      <x:c r="F378" s="24" t="n">
        <x:v>5.7</x:v>
      </x:c>
      <x:c r="G378" s="24" t="n">
        <x:f>E378-F378</x:f>
        <x:v>-0.7000000000000002</x:v>
      </x:c>
      <x:c r="H378" s="24" t="n">
        <x:f>ABS(G378)</x:f>
        <x:v>0.7000000000000002</x:v>
      </x:c>
      <x:c r="I378" s="24" t="n">
        <x:f>G378^2</x:f>
        <x:v>0.49000000000000027</x:v>
      </x:c>
    </x:row>
    <x:row r="379">
      <x:c r="A379" t="str">
        <x:v>C051</x:v>
      </x:c>
      <x:c r="B379" t="str">
        <x:v>P051</x:v>
      </x:c>
      <x:c r="C379" t="str">
        <x:v>DE_SH_2022</x:v>
      </x:c>
      <x:c r="D379" t="str">
        <x:v>AfD</x:v>
      </x:c>
      <x:c r="E379" s="24" t="n">
        <x:v>5</x:v>
      </x:c>
      <x:c r="F379" s="24" t="n">
        <x:v>4.4</x:v>
      </x:c>
      <x:c r="G379" s="24" t="n">
        <x:f>E379-F379</x:f>
        <x:v>0.5999999999999996</x:v>
      </x:c>
      <x:c r="H379" s="24" t="n">
        <x:f>ABS(G379)</x:f>
        <x:v>0.5999999999999996</x:v>
      </x:c>
      <x:c r="I379" s="24" t="n">
        <x:f>G379^2</x:f>
        <x:v>0.3599999999999996</x:v>
      </x:c>
    </x:row>
    <x:row r="380">
      <x:c r="A380" t="str">
        <x:v>C051</x:v>
      </x:c>
      <x:c r="B380" t="str">
        <x:v>P051</x:v>
      </x:c>
      <x:c r="C380" t="str">
        <x:v>DE_SH_2022</x:v>
      </x:c>
      <x:c r="D380" t="str">
        <x:v>Sonstige inkl. LINKE</x:v>
      </x:c>
      <x:c r="E380" s="24" t="n">
        <x:v>8</x:v>
      </x:c>
      <x:c r="F380" s="24" t="n">
        <x:v>5.9</x:v>
      </x:c>
      <x:c r="G380" s="24" t="n">
        <x:f>E380-F380</x:f>
        <x:v>2.0999999999999996</x:v>
      </x:c>
      <x:c r="H380" s="24" t="n">
        <x:f>ABS(G380)</x:f>
        <x:v>2.0999999999999996</x:v>
      </x:c>
      <x:c r="I380" s="24" t="n">
        <x:f>G380^2</x:f>
        <x:v>4.409999999999998</x:v>
      </x:c>
    </x:row>
    <x:row r="381">
      <x:c r="A381" t="str">
        <x:v>C052</x:v>
      </x:c>
      <x:c r="B381" t="str">
        <x:v>P052</x:v>
      </x:c>
      <x:c r="C381" t="str">
        <x:v>DE_SH_2022</x:v>
      </x:c>
      <x:c r="D381" t="str">
        <x:v>CDU</x:v>
      </x:c>
      <x:c r="E381" s="24" t="n">
        <x:v>36</x:v>
      </x:c>
      <x:c r="F381" s="24" t="n">
        <x:v>43.4</x:v>
      </x:c>
      <x:c r="G381" s="24" t="n">
        <x:f>E381-F381</x:f>
        <x:v>-7.399999999999999</x:v>
      </x:c>
      <x:c r="H381" s="24" t="n">
        <x:f>ABS(G381)</x:f>
        <x:v>7.399999999999999</x:v>
      </x:c>
      <x:c r="I381" s="24" t="n">
        <x:f>G381^2</x:f>
        <x:v>54.75999999999998</x:v>
      </x:c>
    </x:row>
    <x:row r="382">
      <x:c r="A382" t="str">
        <x:v>C052</x:v>
      </x:c>
      <x:c r="B382" t="str">
        <x:v>P052</x:v>
      </x:c>
      <x:c r="C382" t="str">
        <x:v>DE_SH_2022</x:v>
      </x:c>
      <x:c r="D382" t="str">
        <x:v>SPD</x:v>
      </x:c>
      <x:c r="E382" s="24" t="n">
        <x:v>20</x:v>
      </x:c>
      <x:c r="F382" s="24" t="n">
        <x:v>16</x:v>
      </x:c>
      <x:c r="G382" s="24" t="n">
        <x:f>E382-F382</x:f>
        <x:v>4</x:v>
      </x:c>
      <x:c r="H382" s="24" t="n">
        <x:f>ABS(G382)</x:f>
        <x:v>4</x:v>
      </x:c>
      <x:c r="I382" s="24" t="n">
        <x:f>G382^2</x:f>
        <x:v>16</x:v>
      </x:c>
    </x:row>
    <x:row r="383">
      <x:c r="A383" t="str">
        <x:v>C052</x:v>
      </x:c>
      <x:c r="B383" t="str">
        <x:v>P052</x:v>
      </x:c>
      <x:c r="C383" t="str">
        <x:v>DE_SH_2022</x:v>
      </x:c>
      <x:c r="D383" t="str">
        <x:v>GRÜNE</x:v>
      </x:c>
      <x:c r="E383" s="24" t="n">
        <x:v>16</x:v>
      </x:c>
      <x:c r="F383" s="24" t="n">
        <x:v>18.3</x:v>
      </x:c>
      <x:c r="G383" s="24" t="n">
        <x:f>E383-F383</x:f>
        <x:v>-2.3000000000000007</x:v>
      </x:c>
      <x:c r="H383" s="24" t="n">
        <x:f>ABS(G383)</x:f>
        <x:v>2.3000000000000007</x:v>
      </x:c>
      <x:c r="I383" s="24" t="n">
        <x:f>G383^2</x:f>
        <x:v>5.290000000000004</x:v>
      </x:c>
    </x:row>
    <x:row r="384">
      <x:c r="A384" t="str">
        <x:v>C052</x:v>
      </x:c>
      <x:c r="B384" t="str">
        <x:v>P052</x:v>
      </x:c>
      <x:c r="C384" t="str">
        <x:v>DE_SH_2022</x:v>
      </x:c>
      <x:c r="D384" t="str">
        <x:v>FDP</x:v>
      </x:c>
      <x:c r="E384" s="24" t="n">
        <x:v>9</x:v>
      </x:c>
      <x:c r="F384" s="24" t="n">
        <x:v>6.4</x:v>
      </x:c>
      <x:c r="G384" s="24" t="n">
        <x:f>E384-F384</x:f>
        <x:v>2.5999999999999996</x:v>
      </x:c>
      <x:c r="H384" s="24" t="n">
        <x:f>ABS(G384)</x:f>
        <x:v>2.5999999999999996</x:v>
      </x:c>
      <x:c r="I384" s="24" t="n">
        <x:f>G384^2</x:f>
        <x:v>6.759999999999998</x:v>
      </x:c>
    </x:row>
    <x:row r="385">
      <x:c r="A385" t="str">
        <x:v>C052</x:v>
      </x:c>
      <x:c r="B385" t="str">
        <x:v>P052</x:v>
      </x:c>
      <x:c r="C385" t="str">
        <x:v>DE_SH_2022</x:v>
      </x:c>
      <x:c r="D385" t="str">
        <x:v>SSW</x:v>
      </x:c>
      <x:c r="E385" s="24" t="n">
        <x:v>5</x:v>
      </x:c>
      <x:c r="F385" s="24" t="n">
        <x:v>5.7</x:v>
      </x:c>
      <x:c r="G385" s="24" t="n">
        <x:f>E385-F385</x:f>
        <x:v>-0.7000000000000002</x:v>
      </x:c>
      <x:c r="H385" s="24" t="n">
        <x:f>ABS(G385)</x:f>
        <x:v>0.7000000000000002</x:v>
      </x:c>
      <x:c r="I385" s="24" t="n">
        <x:f>G385^2</x:f>
        <x:v>0.49000000000000027</x:v>
      </x:c>
    </x:row>
    <x:row r="386">
      <x:c r="A386" t="str">
        <x:v>C052</x:v>
      </x:c>
      <x:c r="B386" t="str">
        <x:v>P052</x:v>
      </x:c>
      <x:c r="C386" t="str">
        <x:v>DE_SH_2022</x:v>
      </x:c>
      <x:c r="D386" t="str">
        <x:v>AfD</x:v>
      </x:c>
      <x:c r="E386" s="24" t="n">
        <x:v>6</x:v>
      </x:c>
      <x:c r="F386" s="24" t="n">
        <x:v>4.4</x:v>
      </x:c>
      <x:c r="G386" s="24" t="n">
        <x:f>E386-F386</x:f>
        <x:v>1.5999999999999996</x:v>
      </x:c>
      <x:c r="H386" s="24" t="n">
        <x:f>ABS(G386)</x:f>
        <x:v>1.5999999999999996</x:v>
      </x:c>
      <x:c r="I386" s="24" t="n">
        <x:f>G386^2</x:f>
        <x:v>2.5599999999999987</x:v>
      </x:c>
    </x:row>
    <x:row r="387">
      <x:c r="A387" t="str">
        <x:v>C052</x:v>
      </x:c>
      <x:c r="B387" t="str">
        <x:v>P052</x:v>
      </x:c>
      <x:c r="C387" t="str">
        <x:v>DE_SH_2022</x:v>
      </x:c>
      <x:c r="D387" t="str">
        <x:v>Sonstige inkl. LINKE</x:v>
      </x:c>
      <x:c r="E387" s="24" t="n">
        <x:v>8</x:v>
      </x:c>
      <x:c r="F387" s="24" t="n">
        <x:v>5.9</x:v>
      </x:c>
      <x:c r="G387" s="24" t="n">
        <x:f>E387-F387</x:f>
        <x:v>2.0999999999999996</x:v>
      </x:c>
      <x:c r="H387" s="24" t="n">
        <x:f>ABS(G387)</x:f>
        <x:v>2.0999999999999996</x:v>
      </x:c>
      <x:c r="I387" s="24" t="n">
        <x:f>G387^2</x:f>
        <x:v>4.409999999999998</x:v>
      </x:c>
    </x:row>
    <x:row r="388">
      <x:c r="A388" t="str">
        <x:v>C053</x:v>
      </x:c>
      <x:c r="B388" t="str">
        <x:v>P053</x:v>
      </x:c>
      <x:c r="C388" t="str">
        <x:v>DE_SL_2022</x:v>
      </x:c>
      <x:c r="D388" t="str">
        <x:v>CDU</x:v>
      </x:c>
      <x:c r="E388" s="24" t="n">
        <x:v>28</x:v>
      </x:c>
      <x:c r="F388" s="24" t="n">
        <x:v>28.5</x:v>
      </x:c>
      <x:c r="G388" s="24" t="n">
        <x:f>E388-F388</x:f>
        <x:v>-0.5</x:v>
      </x:c>
      <x:c r="H388" s="24" t="n">
        <x:f>ABS(G388)</x:f>
        <x:v>0.5</x:v>
      </x:c>
      <x:c r="I388" s="24" t="n">
        <x:f>G388^2</x:f>
        <x:v>0.25</x:v>
      </x:c>
    </x:row>
    <x:row r="389">
      <x:c r="A389" t="str">
        <x:v>C053</x:v>
      </x:c>
      <x:c r="B389" t="str">
        <x:v>P053</x:v>
      </x:c>
      <x:c r="C389" t="str">
        <x:v>DE_SL_2022</x:v>
      </x:c>
      <x:c r="D389" t="str">
        <x:v>SPD</x:v>
      </x:c>
      <x:c r="E389" s="24" t="n">
        <x:v>41</x:v>
      </x:c>
      <x:c r="F389" s="24" t="n">
        <x:v>43.5</x:v>
      </x:c>
      <x:c r="G389" s="24" t="n">
        <x:f>E389-F389</x:f>
        <x:v>-2.5</x:v>
      </x:c>
      <x:c r="H389" s="24" t="n">
        <x:f>ABS(G389)</x:f>
        <x:v>2.5</x:v>
      </x:c>
      <x:c r="I389" s="24" t="n">
        <x:f>G389^2</x:f>
        <x:v>6.25</x:v>
      </x:c>
    </x:row>
    <x:row r="390">
      <x:c r="A390" t="str">
        <x:v>C053</x:v>
      </x:c>
      <x:c r="B390" t="str">
        <x:v>P053</x:v>
      </x:c>
      <x:c r="C390" t="str">
        <x:v>DE_SL_2022</x:v>
      </x:c>
      <x:c r="D390" t="str">
        <x:v>GRÜNE</x:v>
      </x:c>
      <x:c r="E390" s="24" t="n">
        <x:v>5.5</x:v>
      </x:c>
      <x:c r="F390" s="24" t="n">
        <x:v>5</x:v>
      </x:c>
      <x:c r="G390" s="24" t="n">
        <x:f>E390-F390</x:f>
        <x:v>0.5</x:v>
      </x:c>
      <x:c r="H390" s="24" t="n">
        <x:f>ABS(G390)</x:f>
        <x:v>0.5</x:v>
      </x:c>
      <x:c r="I390" s="24" t="n">
        <x:f>G390^2</x:f>
        <x:v>0.25</x:v>
      </x:c>
    </x:row>
    <x:row r="391">
      <x:c r="A391" t="str">
        <x:v>C053</x:v>
      </x:c>
      <x:c r="B391" t="str">
        <x:v>P053</x:v>
      </x:c>
      <x:c r="C391" t="str">
        <x:v>DE_SL_2022</x:v>
      </x:c>
      <x:c r="D391" t="str">
        <x:v>FDP</x:v>
      </x:c>
      <x:c r="E391" s="24" t="n">
        <x:v>5</x:v>
      </x:c>
      <x:c r="F391" s="24" t="n">
        <x:v>4.8</x:v>
      </x:c>
      <x:c r="G391" s="24" t="n">
        <x:f>E391-F391</x:f>
        <x:v>0.20000000000000018</x:v>
      </x:c>
      <x:c r="H391" s="24" t="n">
        <x:f>ABS(G391)</x:f>
        <x:v>0.20000000000000018</x:v>
      </x:c>
      <x:c r="I391" s="24" t="n">
        <x:f>G391^2</x:f>
        <x:v>0.04000000000000007</x:v>
      </x:c>
    </x:row>
    <x:row r="392">
      <x:c r="A392" t="str">
        <x:v>C053</x:v>
      </x:c>
      <x:c r="B392" t="str">
        <x:v>P053</x:v>
      </x:c>
      <x:c r="C392" t="str">
        <x:v>DE_SL_2022</x:v>
      </x:c>
      <x:c r="D392" t="str">
        <x:v>LINKE</x:v>
      </x:c>
      <x:c r="E392" s="24" t="n">
        <x:v>4</x:v>
      </x:c>
      <x:c r="F392" s="24" t="n">
        <x:v>2.6</x:v>
      </x:c>
      <x:c r="G392" s="24" t="n">
        <x:f>E392-F392</x:f>
        <x:v>1.4</x:v>
      </x:c>
      <x:c r="H392" s="24" t="n">
        <x:f>ABS(G392)</x:f>
        <x:v>1.4</x:v>
      </x:c>
      <x:c r="I392" s="24" t="n">
        <x:f>G392^2</x:f>
        <x:v>1.9599999999999997</x:v>
      </x:c>
    </x:row>
    <x:row r="393">
      <x:c r="A393" t="str">
        <x:v>C053</x:v>
      </x:c>
      <x:c r="B393" t="str">
        <x:v>P053</x:v>
      </x:c>
      <x:c r="C393" t="str">
        <x:v>DE_SL_2022</x:v>
      </x:c>
      <x:c r="D393" t="str">
        <x:v>AfD</x:v>
      </x:c>
      <x:c r="E393" s="24" t="n">
        <x:v>6.5</x:v>
      </x:c>
      <x:c r="F393" s="24" t="n">
        <x:v>5.7</x:v>
      </x:c>
      <x:c r="G393" s="24" t="n">
        <x:f>E393-F393</x:f>
        <x:v>0.7999999999999998</x:v>
      </x:c>
      <x:c r="H393" s="24" t="n">
        <x:f>ABS(G393)</x:f>
        <x:v>0.7999999999999998</x:v>
      </x:c>
      <x:c r="I393" s="24" t="n">
        <x:f>G393^2</x:f>
        <x:v>0.6399999999999997</x:v>
      </x:c>
    </x:row>
    <x:row r="394">
      <x:c r="A394" t="str">
        <x:v>C053</x:v>
      </x:c>
      <x:c r="B394" t="str">
        <x:v>P053</x:v>
      </x:c>
      <x:c r="C394" t="str">
        <x:v>DE_SL_2022</x:v>
      </x:c>
      <x:c r="D394" t="str">
        <x:v>Sonstige</x:v>
      </x:c>
      <x:c r="E394" s="24" t="n">
        <x:v>10</x:v>
      </x:c>
      <x:c r="F394" s="24" t="n">
        <x:v>9.9</x:v>
      </x:c>
      <x:c r="G394" s="24" t="n">
        <x:f>E394-F394</x:f>
        <x:v>0.09999999999999964</x:v>
      </x:c>
      <x:c r="H394" s="24" t="n">
        <x:f>ABS(G394)</x:f>
        <x:v>0.09999999999999964</x:v>
      </x:c>
      <x:c r="I394" s="24" t="n">
        <x:f>G394^2</x:f>
        <x:v>0.009999999999999929</x:v>
      </x:c>
    </x:row>
    <x:row r="395">
      <x:c r="A395" t="str">
        <x:v>C054</x:v>
      </x:c>
      <x:c r="B395" t="str">
        <x:v>P054</x:v>
      </x:c>
      <x:c r="C395" t="str">
        <x:v>DE_SL_2022</x:v>
      </x:c>
      <x:c r="D395" t="str">
        <x:v>CDU</x:v>
      </x:c>
      <x:c r="E395" s="24" t="n">
        <x:v>31</x:v>
      </x:c>
      <x:c r="F395" s="24" t="n">
        <x:v>28.5</x:v>
      </x:c>
      <x:c r="G395" s="24" t="n">
        <x:f>E395-F395</x:f>
        <x:v>2.5</x:v>
      </x:c>
      <x:c r="H395" s="24" t="n">
        <x:f>ABS(G395)</x:f>
        <x:v>2.5</x:v>
      </x:c>
      <x:c r="I395" s="24" t="n">
        <x:f>G395^2</x:f>
        <x:v>6.25</x:v>
      </x:c>
    </x:row>
    <x:row r="396">
      <x:c r="A396" t="str">
        <x:v>C054</x:v>
      </x:c>
      <x:c r="B396" t="str">
        <x:v>P054</x:v>
      </x:c>
      <x:c r="C396" t="str">
        <x:v>DE_SL_2022</x:v>
      </x:c>
      <x:c r="D396" t="str">
        <x:v>SPD</x:v>
      </x:c>
      <x:c r="E396" s="24" t="n">
        <x:v>39</x:v>
      </x:c>
      <x:c r="F396" s="24" t="n">
        <x:v>43.5</x:v>
      </x:c>
      <x:c r="G396" s="24" t="n">
        <x:f>E396-F396</x:f>
        <x:v>-4.5</x:v>
      </x:c>
      <x:c r="H396" s="24" t="n">
        <x:f>ABS(G396)</x:f>
        <x:v>4.5</x:v>
      </x:c>
      <x:c r="I396" s="24" t="n">
        <x:f>G396^2</x:f>
        <x:v>20.25</x:v>
      </x:c>
    </x:row>
    <x:row r="397">
      <x:c r="A397" t="str">
        <x:v>C054</x:v>
      </x:c>
      <x:c r="B397" t="str">
        <x:v>P054</x:v>
      </x:c>
      <x:c r="C397" t="str">
        <x:v>DE_SL_2022</x:v>
      </x:c>
      <x:c r="D397" t="str">
        <x:v>GRÜNE</x:v>
      </x:c>
      <x:c r="E397" s="24" t="n">
        <x:v>5</x:v>
      </x:c>
      <x:c r="F397" s="24" t="n">
        <x:v>5</x:v>
      </x:c>
      <x:c r="G397" s="24" t="n">
        <x:f>E397-F397</x:f>
        <x:v>0</x:v>
      </x:c>
      <x:c r="H397" s="24" t="n">
        <x:f>ABS(G397)</x:f>
        <x:v>0</x:v>
      </x:c>
      <x:c r="I397" s="24" t="n">
        <x:f>G397^2</x:f>
        <x:v>0</x:v>
      </x:c>
    </x:row>
    <x:row r="398">
      <x:c r="A398" t="str">
        <x:v>C054</x:v>
      </x:c>
      <x:c r="B398" t="str">
        <x:v>P054</x:v>
      </x:c>
      <x:c r="C398" t="str">
        <x:v>DE_SL_2022</x:v>
      </x:c>
      <x:c r="D398" t="str">
        <x:v>FDP</x:v>
      </x:c>
      <x:c r="E398" s="24" t="n">
        <x:v>5</x:v>
      </x:c>
      <x:c r="F398" s="24" t="n">
        <x:v>4.8</x:v>
      </x:c>
      <x:c r="G398" s="24" t="n">
        <x:f>E398-F398</x:f>
        <x:v>0.20000000000000018</x:v>
      </x:c>
      <x:c r="H398" s="24" t="n">
        <x:f>ABS(G398)</x:f>
        <x:v>0.20000000000000018</x:v>
      </x:c>
      <x:c r="I398" s="24" t="n">
        <x:f>G398^2</x:f>
        <x:v>0.04000000000000007</x:v>
      </x:c>
    </x:row>
    <x:row r="399">
      <x:c r="A399" t="str">
        <x:v>C054</x:v>
      </x:c>
      <x:c r="B399" t="str">
        <x:v>P054</x:v>
      </x:c>
      <x:c r="C399" t="str">
        <x:v>DE_SL_2022</x:v>
      </x:c>
      <x:c r="D399" t="str">
        <x:v>LINKE</x:v>
      </x:c>
      <x:c r="E399" s="24" t="n">
        <x:v>4</x:v>
      </x:c>
      <x:c r="F399" s="24" t="n">
        <x:v>2.6</x:v>
      </x:c>
      <x:c r="G399" s="24" t="n">
        <x:f>E399-F399</x:f>
        <x:v>1.4</x:v>
      </x:c>
      <x:c r="H399" s="24" t="n">
        <x:f>ABS(G399)</x:f>
        <x:v>1.4</x:v>
      </x:c>
      <x:c r="I399" s="24" t="n">
        <x:f>G399^2</x:f>
        <x:v>1.9599999999999997</x:v>
      </x:c>
    </x:row>
    <x:row r="400">
      <x:c r="A400" t="str">
        <x:v>C054</x:v>
      </x:c>
      <x:c r="B400" t="str">
        <x:v>P054</x:v>
      </x:c>
      <x:c r="C400" t="str">
        <x:v>DE_SL_2022</x:v>
      </x:c>
      <x:c r="D400" t="str">
        <x:v>AfD</x:v>
      </x:c>
      <x:c r="E400" s="24" t="n">
        <x:v>6</x:v>
      </x:c>
      <x:c r="F400" s="24" t="n">
        <x:v>5.7</x:v>
      </x:c>
      <x:c r="G400" s="24" t="n">
        <x:f>E400-F400</x:f>
        <x:v>0.2999999999999998</x:v>
      </x:c>
      <x:c r="H400" s="24" t="n">
        <x:f>ABS(G400)</x:f>
        <x:v>0.2999999999999998</x:v>
      </x:c>
      <x:c r="I400" s="24" t="n">
        <x:f>G400^2</x:f>
        <x:v>0.0899999999999999</x:v>
      </x:c>
    </x:row>
    <x:row r="401">
      <x:c r="A401" t="str">
        <x:v>C054</x:v>
      </x:c>
      <x:c r="B401" t="str">
        <x:v>P054</x:v>
      </x:c>
      <x:c r="C401" t="str">
        <x:v>DE_SL_2022</x:v>
      </x:c>
      <x:c r="D401" t="str">
        <x:v>Sonstige</x:v>
      </x:c>
      <x:c r="E401" s="24" t="n">
        <x:v>10</x:v>
      </x:c>
      <x:c r="F401" s="24" t="n">
        <x:v>9.9</x:v>
      </x:c>
      <x:c r="G401" s="24" t="n">
        <x:f>E401-F401</x:f>
        <x:v>0.09999999999999964</x:v>
      </x:c>
      <x:c r="H401" s="24" t="n">
        <x:f>ABS(G401)</x:f>
        <x:v>0.09999999999999964</x:v>
      </x:c>
      <x:c r="I401" s="24" t="n">
        <x:f>G401^2</x:f>
        <x:v>0.009999999999999929</x:v>
      </x:c>
    </x:row>
    <x:row r="402">
      <x:c r="A402" t="str">
        <x:v>C055</x:v>
      </x:c>
      <x:c r="B402" t="str">
        <x:v>P055</x:v>
      </x:c>
      <x:c r="C402" t="str">
        <x:v>DE_SL_2022</x:v>
      </x:c>
      <x:c r="D402" t="str">
        <x:v>CDU</x:v>
      </x:c>
      <x:c r="E402" s="24" t="n">
        <x:v>31</x:v>
      </x:c>
      <x:c r="F402" s="24" t="n">
        <x:v>28.5</x:v>
      </x:c>
      <x:c r="G402" s="24" t="n">
        <x:f>E402-F402</x:f>
        <x:v>2.5</x:v>
      </x:c>
      <x:c r="H402" s="24" t="n">
        <x:f>ABS(G402)</x:f>
        <x:v>2.5</x:v>
      </x:c>
      <x:c r="I402" s="24" t="n">
        <x:f>G402^2</x:f>
        <x:v>6.25</x:v>
      </x:c>
    </x:row>
    <x:row r="403">
      <x:c r="A403" t="str">
        <x:v>C055</x:v>
      </x:c>
      <x:c r="B403" t="str">
        <x:v>P055</x:v>
      </x:c>
      <x:c r="C403" t="str">
        <x:v>DE_SL_2022</x:v>
      </x:c>
      <x:c r="D403" t="str">
        <x:v>SPD</x:v>
      </x:c>
      <x:c r="E403" s="24" t="n">
        <x:v>37</x:v>
      </x:c>
      <x:c r="F403" s="24" t="n">
        <x:v>43.5</x:v>
      </x:c>
      <x:c r="G403" s="24" t="n">
        <x:f>E403-F403</x:f>
        <x:v>-6.5</x:v>
      </x:c>
      <x:c r="H403" s="24" t="n">
        <x:f>ABS(G403)</x:f>
        <x:v>6.5</x:v>
      </x:c>
      <x:c r="I403" s="24" t="n">
        <x:f>G403^2</x:f>
        <x:v>42.25</x:v>
      </x:c>
    </x:row>
    <x:row r="404">
      <x:c r="A404" t="str">
        <x:v>C055</x:v>
      </x:c>
      <x:c r="B404" t="str">
        <x:v>P055</x:v>
      </x:c>
      <x:c r="C404" t="str">
        <x:v>DE_SL_2022</x:v>
      </x:c>
      <x:c r="D404" t="str">
        <x:v>GRÜNE</x:v>
      </x:c>
      <x:c r="E404" s="24" t="n">
        <x:v>5</x:v>
      </x:c>
      <x:c r="F404" s="24" t="n">
        <x:v>5</x:v>
      </x:c>
      <x:c r="G404" s="24" t="n">
        <x:f>E404-F404</x:f>
        <x:v>0</x:v>
      </x:c>
      <x:c r="H404" s="24" t="n">
        <x:f>ABS(G404)</x:f>
        <x:v>0</x:v>
      </x:c>
      <x:c r="I404" s="24" t="n">
        <x:f>G404^2</x:f>
        <x:v>0</x:v>
      </x:c>
    </x:row>
    <x:row r="405">
      <x:c r="A405" t="str">
        <x:v>C055</x:v>
      </x:c>
      <x:c r="B405" t="str">
        <x:v>P055</x:v>
      </x:c>
      <x:c r="C405" t="str">
        <x:v>DE_SL_2022</x:v>
      </x:c>
      <x:c r="D405" t="str">
        <x:v>FDP</x:v>
      </x:c>
      <x:c r="E405" s="24" t="n">
        <x:v>5</x:v>
      </x:c>
      <x:c r="F405" s="24" t="n">
        <x:v>4.8</x:v>
      </x:c>
      <x:c r="G405" s="24" t="n">
        <x:f>E405-F405</x:f>
        <x:v>0.20000000000000018</x:v>
      </x:c>
      <x:c r="H405" s="24" t="n">
        <x:f>ABS(G405)</x:f>
        <x:v>0.20000000000000018</x:v>
      </x:c>
      <x:c r="I405" s="24" t="n">
        <x:f>G405^2</x:f>
        <x:v>0.04000000000000007</x:v>
      </x:c>
    </x:row>
    <x:row r="406">
      <x:c r="A406" t="str">
        <x:v>C055</x:v>
      </x:c>
      <x:c r="B406" t="str">
        <x:v>P055</x:v>
      </x:c>
      <x:c r="C406" t="str">
        <x:v>DE_SL_2022</x:v>
      </x:c>
      <x:c r="D406" t="str">
        <x:v>LINKE</x:v>
      </x:c>
      <x:c r="E406" s="24" t="n">
        <x:v>4</x:v>
      </x:c>
      <x:c r="F406" s="24" t="n">
        <x:v>2.6</x:v>
      </x:c>
      <x:c r="G406" s="24" t="n">
        <x:f>E406-F406</x:f>
        <x:v>1.4</x:v>
      </x:c>
      <x:c r="H406" s="24" t="n">
        <x:f>ABS(G406)</x:f>
        <x:v>1.4</x:v>
      </x:c>
      <x:c r="I406" s="24" t="n">
        <x:f>G406^2</x:f>
        <x:v>1.9599999999999997</x:v>
      </x:c>
    </x:row>
    <x:row r="407">
      <x:c r="A407" t="str">
        <x:v>C055</x:v>
      </x:c>
      <x:c r="B407" t="str">
        <x:v>P055</x:v>
      </x:c>
      <x:c r="C407" t="str">
        <x:v>DE_SL_2022</x:v>
      </x:c>
      <x:c r="D407" t="str">
        <x:v>AfD</x:v>
      </x:c>
      <x:c r="E407" s="24" t="n">
        <x:v>6</x:v>
      </x:c>
      <x:c r="F407" s="24" t="n">
        <x:v>5.7</x:v>
      </x:c>
      <x:c r="G407" s="24" t="n">
        <x:f>E407-F407</x:f>
        <x:v>0.2999999999999998</x:v>
      </x:c>
      <x:c r="H407" s="24" t="n">
        <x:f>ABS(G407)</x:f>
        <x:v>0.2999999999999998</x:v>
      </x:c>
      <x:c r="I407" s="24" t="n">
        <x:f>G407^2</x:f>
        <x:v>0.0899999999999999</x:v>
      </x:c>
    </x:row>
    <x:row r="408">
      <x:c r="A408" t="str">
        <x:v>C055</x:v>
      </x:c>
      <x:c r="B408" t="str">
        <x:v>P055</x:v>
      </x:c>
      <x:c r="C408" t="str">
        <x:v>DE_SL_2022</x:v>
      </x:c>
      <x:c r="D408" t="str">
        <x:v>Sonstige</x:v>
      </x:c>
      <x:c r="E408" s="24" t="n">
        <x:v>12</x:v>
      </x:c>
      <x:c r="F408" s="24" t="n">
        <x:v>9.9</x:v>
      </x:c>
      <x:c r="G408" s="24" t="n">
        <x:f>E408-F408</x:f>
        <x:v>2.0999999999999996</x:v>
      </x:c>
      <x:c r="H408" s="24" t="n">
        <x:f>ABS(G408)</x:f>
        <x:v>2.0999999999999996</x:v>
      </x:c>
      <x:c r="I408" s="24" t="n">
        <x:f>G408^2</x:f>
        <x:v>4.409999999999998</x:v>
      </x:c>
    </x:row>
    <x:row r="409">
      <x:c r="A409" t="str">
        <x:v>C057</x:v>
      </x:c>
      <x:c r="B409" t="str">
        <x:v>P057</x:v>
      </x:c>
      <x:c r="C409" t="str">
        <x:v>DE_BT_2021</x:v>
      </x:c>
      <x:c r="D409" t="str">
        <x:v>CDU/CSU</x:v>
      </x:c>
      <x:c r="E409" s="24" t="n">
        <x:v>25</x:v>
      </x:c>
      <x:c r="F409" s="24" t="n">
        <x:v>24.1</x:v>
      </x:c>
      <x:c r="G409" s="24" t="n">
        <x:f>E409-F409</x:f>
        <x:v>0.8999999999999986</x:v>
      </x:c>
      <x:c r="H409" s="24" t="n">
        <x:f>ABS(G409)</x:f>
        <x:v>0.8999999999999986</x:v>
      </x:c>
      <x:c r="I409" s="24" t="n">
        <x:f>G409^2</x:f>
        <x:v>0.8099999999999974</x:v>
      </x:c>
    </x:row>
    <x:row r="410">
      <x:c r="A410" t="str">
        <x:v>C057</x:v>
      </x:c>
      <x:c r="B410" t="str">
        <x:v>P057</x:v>
      </x:c>
      <x:c r="C410" t="str">
        <x:v>DE_BT_2021</x:v>
      </x:c>
      <x:c r="D410" t="str">
        <x:v>SPD</x:v>
      </x:c>
      <x:c r="E410" s="24" t="n">
        <x:v>26</x:v>
      </x:c>
      <x:c r="F410" s="24" t="n">
        <x:v>25.7</x:v>
      </x:c>
      <x:c r="G410" s="24" t="n">
        <x:f>E410-F410</x:f>
        <x:v>0.3000000000000007</x:v>
      </x:c>
      <x:c r="H410" s="24" t="n">
        <x:f>ABS(G410)</x:f>
        <x:v>0.3000000000000007</x:v>
      </x:c>
      <x:c r="I410" s="24" t="n">
        <x:f>G410^2</x:f>
        <x:v>0.09000000000000043</x:v>
      </x:c>
    </x:row>
    <x:row r="411">
      <x:c r="A411" t="str">
        <x:v>C057</x:v>
      </x:c>
      <x:c r="B411" t="str">
        <x:v>P057</x:v>
      </x:c>
      <x:c r="C411" t="str">
        <x:v>DE_BT_2021</x:v>
      </x:c>
      <x:c r="D411" t="str">
        <x:v>GRÜNE</x:v>
      </x:c>
      <x:c r="E411" s="24" t="n">
        <x:v>16</x:v>
      </x:c>
      <x:c r="F411" s="24" t="n">
        <x:v>14.8</x:v>
      </x:c>
      <x:c r="G411" s="24" t="n">
        <x:f>E411-F411</x:f>
        <x:v>1.1999999999999993</x:v>
      </x:c>
      <x:c r="H411" s="24" t="n">
        <x:f>ABS(G411)</x:f>
        <x:v>1.1999999999999993</x:v>
      </x:c>
      <x:c r="I411" s="24" t="n">
        <x:f>G411^2</x:f>
        <x:v>1.4399999999999984</x:v>
      </x:c>
    </x:row>
    <x:row r="412">
      <x:c r="A412" t="str">
        <x:v>C057</x:v>
      </x:c>
      <x:c r="B412" t="str">
        <x:v>P057</x:v>
      </x:c>
      <x:c r="C412" t="str">
        <x:v>DE_BT_2021</x:v>
      </x:c>
      <x:c r="D412" t="str">
        <x:v>FDP</x:v>
      </x:c>
      <x:c r="E412" s="24" t="n">
        <x:v>10.5</x:v>
      </x:c>
      <x:c r="F412" s="24" t="n">
        <x:v>11.5</x:v>
      </x:c>
      <x:c r="G412" s="24" t="n">
        <x:f>E412-F412</x:f>
        <x:v>-1</x:v>
      </x:c>
      <x:c r="H412" s="24" t="n">
        <x:f>ABS(G412)</x:f>
        <x:v>1</x:v>
      </x:c>
      <x:c r="I412" s="24" t="n">
        <x:f>G412^2</x:f>
        <x:v>1</x:v>
      </x:c>
    </x:row>
    <x:row r="413">
      <x:c r="A413" t="str">
        <x:v>C057</x:v>
      </x:c>
      <x:c r="B413" t="str">
        <x:v>P057</x:v>
      </x:c>
      <x:c r="C413" t="str">
        <x:v>DE_BT_2021</x:v>
      </x:c>
      <x:c r="D413" t="str">
        <x:v>LINKE</x:v>
      </x:c>
      <x:c r="E413" s="24" t="n">
        <x:v>5</x:v>
      </x:c>
      <x:c r="F413" s="24" t="n">
        <x:v>4.9</x:v>
      </x:c>
      <x:c r="G413" s="24" t="n">
        <x:f>E413-F413</x:f>
        <x:v>0.09999999999999964</x:v>
      </x:c>
      <x:c r="H413" s="24" t="n">
        <x:f>ABS(G413)</x:f>
        <x:v>0.09999999999999964</x:v>
      </x:c>
      <x:c r="I413" s="24" t="n">
        <x:f>G413^2</x:f>
        <x:v>0.009999999999999929</x:v>
      </x:c>
    </x:row>
    <x:row r="414">
      <x:c r="A414" t="str">
        <x:v>C057</x:v>
      </x:c>
      <x:c r="B414" t="str">
        <x:v>P057</x:v>
      </x:c>
      <x:c r="C414" t="str">
        <x:v>DE_BT_2021</x:v>
      </x:c>
      <x:c r="D414" t="str">
        <x:v>AfD</x:v>
      </x:c>
      <x:c r="E414" s="24" t="n">
        <x:v>10</x:v>
      </x:c>
      <x:c r="F414" s="24" t="n">
        <x:v>10.3</x:v>
      </x:c>
      <x:c r="G414" s="24" t="n">
        <x:f>E414-F414</x:f>
        <x:v>-0.3000000000000007</x:v>
      </x:c>
      <x:c r="H414" s="24" t="n">
        <x:f>ABS(G414)</x:f>
        <x:v>0.3000000000000007</x:v>
      </x:c>
      <x:c r="I414" s="24" t="n">
        <x:f>G414^2</x:f>
        <x:v>0.09000000000000043</x:v>
      </x:c>
    </x:row>
    <x:row r="415">
      <x:c r="A415" t="str">
        <x:v>C057</x:v>
      </x:c>
      <x:c r="B415" t="str">
        <x:v>P057</x:v>
      </x:c>
      <x:c r="C415" t="str">
        <x:v>DE_BT_2021</x:v>
      </x:c>
      <x:c r="D415" t="str">
        <x:v>Sonstige</x:v>
      </x:c>
      <x:c r="E415" s="24" t="n">
        <x:v>7.5</x:v>
      </x:c>
      <x:c r="F415" s="24" t="n">
        <x:v>8.6</x:v>
      </x:c>
      <x:c r="G415" s="24" t="n">
        <x:f>E415-F415</x:f>
        <x:v>-1.0999999999999996</x:v>
      </x:c>
      <x:c r="H415" s="24" t="n">
        <x:f>ABS(G415)</x:f>
        <x:v>1.0999999999999996</x:v>
      </x:c>
      <x:c r="I415" s="24" t="n">
        <x:f>G415^2</x:f>
        <x:v>1.2099999999999993</x:v>
      </x:c>
    </x:row>
    <x:row r="416">
      <x:c r="A416" t="str">
        <x:v>C058</x:v>
      </x:c>
      <x:c r="B416" t="str">
        <x:v>P058</x:v>
      </x:c>
      <x:c r="C416" t="str">
        <x:v>DE_BT_2021</x:v>
      </x:c>
      <x:c r="D416" t="str">
        <x:v>CDU/CSU</x:v>
      </x:c>
      <x:c r="E416" s="24" t="n">
        <x:v>23</x:v>
      </x:c>
      <x:c r="F416" s="24" t="n">
        <x:v>24.1</x:v>
      </x:c>
      <x:c r="G416" s="24" t="n">
        <x:f>E416-F416</x:f>
        <x:v>-1.1000000000000014</x:v>
      </x:c>
      <x:c r="H416" s="24" t="n">
        <x:f>ABS(G416)</x:f>
        <x:v>1.1000000000000014</x:v>
      </x:c>
      <x:c r="I416" s="24" t="n">
        <x:f>G416^2</x:f>
        <x:v>1.210000000000003</x:v>
      </x:c>
    </x:row>
    <x:row r="417">
      <x:c r="A417" t="str">
        <x:v>C058</x:v>
      </x:c>
      <x:c r="B417" t="str">
        <x:v>P058</x:v>
      </x:c>
      <x:c r="C417" t="str">
        <x:v>DE_BT_2021</x:v>
      </x:c>
      <x:c r="D417" t="str">
        <x:v>SPD</x:v>
      </x:c>
      <x:c r="E417" s="24" t="n">
        <x:v>25</x:v>
      </x:c>
      <x:c r="F417" s="24" t="n">
        <x:v>25.7</x:v>
      </x:c>
      <x:c r="G417" s="24" t="n">
        <x:f>E417-F417</x:f>
        <x:v>-0.6999999999999993</x:v>
      </x:c>
      <x:c r="H417" s="24" t="n">
        <x:f>ABS(G417)</x:f>
        <x:v>0.6999999999999993</x:v>
      </x:c>
      <x:c r="I417" s="24" t="n">
        <x:f>G417^2</x:f>
        <x:v>0.489999999999999</x:v>
      </x:c>
    </x:row>
    <x:row r="418">
      <x:c r="A418" t="str">
        <x:v>C058</x:v>
      </x:c>
      <x:c r="B418" t="str">
        <x:v>P058</x:v>
      </x:c>
      <x:c r="C418" t="str">
        <x:v>DE_BT_2021</x:v>
      </x:c>
      <x:c r="D418" t="str">
        <x:v>GRÜNE</x:v>
      </x:c>
      <x:c r="E418" s="24" t="n">
        <x:v>16</x:v>
      </x:c>
      <x:c r="F418" s="24" t="n">
        <x:v>14.8</x:v>
      </x:c>
      <x:c r="G418" s="24" t="n">
        <x:f>E418-F418</x:f>
        <x:v>1.1999999999999993</x:v>
      </x:c>
      <x:c r="H418" s="24" t="n">
        <x:f>ABS(G418)</x:f>
        <x:v>1.1999999999999993</x:v>
      </x:c>
      <x:c r="I418" s="24" t="n">
        <x:f>G418^2</x:f>
        <x:v>1.4399999999999984</x:v>
      </x:c>
    </x:row>
    <x:row r="419">
      <x:c r="A419" t="str">
        <x:v>C058</x:v>
      </x:c>
      <x:c r="B419" t="str">
        <x:v>P058</x:v>
      </x:c>
      <x:c r="C419" t="str">
        <x:v>DE_BT_2021</x:v>
      </x:c>
      <x:c r="D419" t="str">
        <x:v>FDP</x:v>
      </x:c>
      <x:c r="E419" s="24" t="n">
        <x:v>12</x:v>
      </x:c>
      <x:c r="F419" s="24" t="n">
        <x:v>11.5</x:v>
      </x:c>
      <x:c r="G419" s="24" t="n">
        <x:f>E419-F419</x:f>
        <x:v>0.5</x:v>
      </x:c>
      <x:c r="H419" s="24" t="n">
        <x:f>ABS(G419)</x:f>
        <x:v>0.5</x:v>
      </x:c>
      <x:c r="I419" s="24" t="n">
        <x:f>G419^2</x:f>
        <x:v>0.25</x:v>
      </x:c>
    </x:row>
    <x:row r="420">
      <x:c r="A420" t="str">
        <x:v>C058</x:v>
      </x:c>
      <x:c r="B420" t="str">
        <x:v>P058</x:v>
      </x:c>
      <x:c r="C420" t="str">
        <x:v>DE_BT_2021</x:v>
      </x:c>
      <x:c r="D420" t="str">
        <x:v>LINKE</x:v>
      </x:c>
      <x:c r="E420" s="24" t="n">
        <x:v>6</x:v>
      </x:c>
      <x:c r="F420" s="24" t="n">
        <x:v>4.9</x:v>
      </x:c>
      <x:c r="G420" s="24" t="n">
        <x:f>E420-F420</x:f>
        <x:v>1.0999999999999996</x:v>
      </x:c>
      <x:c r="H420" s="24" t="n">
        <x:f>ABS(G420)</x:f>
        <x:v>1.0999999999999996</x:v>
      </x:c>
      <x:c r="I420" s="24" t="n">
        <x:f>G420^2</x:f>
        <x:v>1.2099999999999993</x:v>
      </x:c>
    </x:row>
    <x:row r="421">
      <x:c r="A421" t="str">
        <x:v>C058</x:v>
      </x:c>
      <x:c r="B421" t="str">
        <x:v>P058</x:v>
      </x:c>
      <x:c r="C421" t="str">
        <x:v>DE_BT_2021</x:v>
      </x:c>
      <x:c r="D421" t="str">
        <x:v>AfD</x:v>
      </x:c>
      <x:c r="E421" s="24" t="n">
        <x:v>10</x:v>
      </x:c>
      <x:c r="F421" s="24" t="n">
        <x:v>10.3</x:v>
      </x:c>
      <x:c r="G421" s="24" t="n">
        <x:f>E421-F421</x:f>
        <x:v>-0.3000000000000007</x:v>
      </x:c>
      <x:c r="H421" s="24" t="n">
        <x:f>ABS(G421)</x:f>
        <x:v>0.3000000000000007</x:v>
      </x:c>
      <x:c r="I421" s="24" t="n">
        <x:f>G421^2</x:f>
        <x:v>0.09000000000000043</x:v>
      </x:c>
    </x:row>
    <x:row r="422">
      <x:c r="A422" t="str">
        <x:v>C058</x:v>
      </x:c>
      <x:c r="B422" t="str">
        <x:v>P058</x:v>
      </x:c>
      <x:c r="C422" t="str">
        <x:v>DE_BT_2021</x:v>
      </x:c>
      <x:c r="D422" t="str">
        <x:v>Sonstige</x:v>
      </x:c>
      <x:c r="E422" s="24" t="n">
        <x:v>8</x:v>
      </x:c>
      <x:c r="F422" s="24" t="n">
        <x:v>8.6</x:v>
      </x:c>
      <x:c r="G422" s="24" t="n">
        <x:f>E422-F422</x:f>
        <x:v>-0.5999999999999996</x:v>
      </x:c>
      <x:c r="H422" s="24" t="n">
        <x:f>ABS(G422)</x:f>
        <x:v>0.5999999999999996</x:v>
      </x:c>
      <x:c r="I422" s="24" t="n">
        <x:f>G422^2</x:f>
        <x:v>0.3599999999999996</x:v>
      </x:c>
    </x:row>
    <x:row r="423">
      <x:c r="A423" t="str">
        <x:v>C059</x:v>
      </x:c>
      <x:c r="B423" t="str">
        <x:v>P059</x:v>
      </x:c>
      <x:c r="C423" t="str">
        <x:v>DE_BT_2021</x:v>
      </x:c>
      <x:c r="D423" t="str">
        <x:v>CDU/CSU</x:v>
      </x:c>
      <x:c r="E423" s="24" t="n">
        <x:v>23</x:v>
      </x:c>
      <x:c r="F423" s="24" t="n">
        <x:v>24.1</x:v>
      </x:c>
      <x:c r="G423" s="24" t="n">
        <x:f>E423-F423</x:f>
        <x:v>-1.1000000000000014</x:v>
      </x:c>
      <x:c r="H423" s="24" t="n">
        <x:f>ABS(G423)</x:f>
        <x:v>1.1000000000000014</x:v>
      </x:c>
      <x:c r="I423" s="24" t="n">
        <x:f>G423^2</x:f>
        <x:v>1.210000000000003</x:v>
      </x:c>
    </x:row>
    <x:row r="424">
      <x:c r="A424" t="str">
        <x:v>C059</x:v>
      </x:c>
      <x:c r="B424" t="str">
        <x:v>P059</x:v>
      </x:c>
      <x:c r="C424" t="str">
        <x:v>DE_BT_2021</x:v>
      </x:c>
      <x:c r="D424" t="str">
        <x:v>SPD</x:v>
      </x:c>
      <x:c r="E424" s="24" t="n">
        <x:v>25</x:v>
      </x:c>
      <x:c r="F424" s="24" t="n">
        <x:v>25.7</x:v>
      </x:c>
      <x:c r="G424" s="24" t="n">
        <x:f>E424-F424</x:f>
        <x:v>-0.6999999999999993</x:v>
      </x:c>
      <x:c r="H424" s="24" t="n">
        <x:f>ABS(G424)</x:f>
        <x:v>0.6999999999999993</x:v>
      </x:c>
      <x:c r="I424" s="24" t="n">
        <x:f>G424^2</x:f>
        <x:v>0.489999999999999</x:v>
      </x:c>
    </x:row>
    <x:row r="425">
      <x:c r="A425" t="str">
        <x:v>C059</x:v>
      </x:c>
      <x:c r="B425" t="str">
        <x:v>P059</x:v>
      </x:c>
      <x:c r="C425" t="str">
        <x:v>DE_BT_2021</x:v>
      </x:c>
      <x:c r="D425" t="str">
        <x:v>GRÜNE</x:v>
      </x:c>
      <x:c r="E425" s="24" t="n">
        <x:v>16.5</x:v>
      </x:c>
      <x:c r="F425" s="24" t="n">
        <x:v>14.8</x:v>
      </x:c>
      <x:c r="G425" s="24" t="n">
        <x:f>E425-F425</x:f>
        <x:v>1.6999999999999993</x:v>
      </x:c>
      <x:c r="H425" s="24" t="n">
        <x:f>ABS(G425)</x:f>
        <x:v>1.6999999999999993</x:v>
      </x:c>
      <x:c r="I425" s="24" t="n">
        <x:f>G425^2</x:f>
        <x:v>2.8899999999999975</x:v>
      </x:c>
    </x:row>
    <x:row r="426">
      <x:c r="A426" t="str">
        <x:v>C059</x:v>
      </x:c>
      <x:c r="B426" t="str">
        <x:v>P059</x:v>
      </x:c>
      <x:c r="C426" t="str">
        <x:v>DE_BT_2021</x:v>
      </x:c>
      <x:c r="D426" t="str">
        <x:v>FDP</x:v>
      </x:c>
      <x:c r="E426" s="24" t="n">
        <x:v>11</x:v>
      </x:c>
      <x:c r="F426" s="24" t="n">
        <x:v>11.5</x:v>
      </x:c>
      <x:c r="G426" s="24" t="n">
        <x:f>E426-F426</x:f>
        <x:v>-0.5</x:v>
      </x:c>
      <x:c r="H426" s="24" t="n">
        <x:f>ABS(G426)</x:f>
        <x:v>0.5</x:v>
      </x:c>
      <x:c r="I426" s="24" t="n">
        <x:f>G426^2</x:f>
        <x:v>0.25</x:v>
      </x:c>
    </x:row>
    <x:row r="427">
      <x:c r="A427" t="str">
        <x:v>C059</x:v>
      </x:c>
      <x:c r="B427" t="str">
        <x:v>P059</x:v>
      </x:c>
      <x:c r="C427" t="str">
        <x:v>DE_BT_2021</x:v>
      </x:c>
      <x:c r="D427" t="str">
        <x:v>LINKE</x:v>
      </x:c>
      <x:c r="E427" s="24" t="n">
        <x:v>6</x:v>
      </x:c>
      <x:c r="F427" s="24" t="n">
        <x:v>4.9</x:v>
      </x:c>
      <x:c r="G427" s="24" t="n">
        <x:f>E427-F427</x:f>
        <x:v>1.0999999999999996</x:v>
      </x:c>
      <x:c r="H427" s="24" t="n">
        <x:f>ABS(G427)</x:f>
        <x:v>1.0999999999999996</x:v>
      </x:c>
      <x:c r="I427" s="24" t="n">
        <x:f>G427^2</x:f>
        <x:v>1.2099999999999993</x:v>
      </x:c>
    </x:row>
    <x:row r="428">
      <x:c r="A428" t="str">
        <x:v>C059</x:v>
      </x:c>
      <x:c r="B428" t="str">
        <x:v>P059</x:v>
      </x:c>
      <x:c r="C428" t="str">
        <x:v>DE_BT_2021</x:v>
      </x:c>
      <x:c r="D428" t="str">
        <x:v>AfD</x:v>
      </x:c>
      <x:c r="E428" s="24" t="n">
        <x:v>10</x:v>
      </x:c>
      <x:c r="F428" s="24" t="n">
        <x:v>10.3</x:v>
      </x:c>
      <x:c r="G428" s="24" t="n">
        <x:f>E428-F428</x:f>
        <x:v>-0.3000000000000007</x:v>
      </x:c>
      <x:c r="H428" s="24" t="n">
        <x:f>ABS(G428)</x:f>
        <x:v>0.3000000000000007</x:v>
      </x:c>
      <x:c r="I428" s="24" t="n">
        <x:f>G428^2</x:f>
        <x:v>0.09000000000000043</x:v>
      </x:c>
    </x:row>
    <x:row r="429">
      <x:c r="A429" t="str">
        <x:v>C059</x:v>
      </x:c>
      <x:c r="B429" t="str">
        <x:v>P059</x:v>
      </x:c>
      <x:c r="C429" t="str">
        <x:v>DE_BT_2021</x:v>
      </x:c>
      <x:c r="D429" t="str">
        <x:v>Sonstige</x:v>
      </x:c>
      <x:c r="E429" s="24" t="n">
        <x:v>8.5</x:v>
      </x:c>
      <x:c r="F429" s="24" t="n">
        <x:v>8.6</x:v>
      </x:c>
      <x:c r="G429" s="24" t="n">
        <x:f>E429-F429</x:f>
        <x:v>-0.09999999999999964</x:v>
      </x:c>
      <x:c r="H429" s="24" t="n">
        <x:f>ABS(G429)</x:f>
        <x:v>0.09999999999999964</x:v>
      </x:c>
      <x:c r="I429" s="24" t="n">
        <x:f>G429^2</x:f>
        <x:v>0.009999999999999929</x:v>
      </x:c>
    </x:row>
    <x:row r="430">
      <x:c r="A430" t="str">
        <x:v>C060</x:v>
      </x:c>
      <x:c r="B430" t="str">
        <x:v>P060</x:v>
      </x:c>
      <x:c r="C430" t="str">
        <x:v>DE_BT_2021</x:v>
      </x:c>
      <x:c r="D430" t="str">
        <x:v>CDU/CSU</x:v>
      </x:c>
      <x:c r="E430" s="24" t="n">
        <x:v>22</x:v>
      </x:c>
      <x:c r="F430" s="24" t="n">
        <x:v>24.1</x:v>
      </x:c>
      <x:c r="G430" s="24" t="n">
        <x:f>E430-F430</x:f>
        <x:v>-2.1000000000000014</x:v>
      </x:c>
      <x:c r="H430" s="24" t="n">
        <x:f>ABS(G430)</x:f>
        <x:v>2.1000000000000014</x:v>
      </x:c>
      <x:c r="I430" s="24" t="n">
        <x:f>G430^2</x:f>
        <x:v>4.410000000000006</x:v>
      </x:c>
    </x:row>
    <x:row r="431">
      <x:c r="A431" t="str">
        <x:v>C060</x:v>
      </x:c>
      <x:c r="B431" t="str">
        <x:v>P060</x:v>
      </x:c>
      <x:c r="C431" t="str">
        <x:v>DE_BT_2021</x:v>
      </x:c>
      <x:c r="D431" t="str">
        <x:v>SPD</x:v>
      </x:c>
      <x:c r="E431" s="24" t="n">
        <x:v>26</x:v>
      </x:c>
      <x:c r="F431" s="24" t="n">
        <x:v>25.7</x:v>
      </x:c>
      <x:c r="G431" s="24" t="n">
        <x:f>E431-F431</x:f>
        <x:v>0.3000000000000007</x:v>
      </x:c>
      <x:c r="H431" s="24" t="n">
        <x:f>ABS(G431)</x:f>
        <x:v>0.3000000000000007</x:v>
      </x:c>
      <x:c r="I431" s="24" t="n">
        <x:f>G431^2</x:f>
        <x:v>0.09000000000000043</x:v>
      </x:c>
    </x:row>
    <x:row r="432">
      <x:c r="A432" t="str">
        <x:v>C060</x:v>
      </x:c>
      <x:c r="B432" t="str">
        <x:v>P060</x:v>
      </x:c>
      <x:c r="C432" t="str">
        <x:v>DE_BT_2021</x:v>
      </x:c>
      <x:c r="D432" t="str">
        <x:v>GRÜNE</x:v>
      </x:c>
      <x:c r="E432" s="24" t="n">
        <x:v>15</x:v>
      </x:c>
      <x:c r="F432" s="24" t="n">
        <x:v>14.8</x:v>
      </x:c>
      <x:c r="G432" s="24" t="n">
        <x:f>E432-F432</x:f>
        <x:v>0.1999999999999993</x:v>
      </x:c>
      <x:c r="H432" s="24" t="n">
        <x:f>ABS(G432)</x:f>
        <x:v>0.1999999999999993</x:v>
      </x:c>
      <x:c r="I432" s="24" t="n">
        <x:f>G432^2</x:f>
        <x:v>0.039999999999999716</x:v>
      </x:c>
    </x:row>
    <x:row r="433">
      <x:c r="A433" t="str">
        <x:v>C060</x:v>
      </x:c>
      <x:c r="B433" t="str">
        <x:v>P060</x:v>
      </x:c>
      <x:c r="C433" t="str">
        <x:v>DE_BT_2021</x:v>
      </x:c>
      <x:c r="D433" t="str">
        <x:v>FDP</x:v>
      </x:c>
      <x:c r="E433" s="24" t="n">
        <x:v>11</x:v>
      </x:c>
      <x:c r="F433" s="24" t="n">
        <x:v>11.5</x:v>
      </x:c>
      <x:c r="G433" s="24" t="n">
        <x:f>E433-F433</x:f>
        <x:v>-0.5</x:v>
      </x:c>
      <x:c r="H433" s="24" t="n">
        <x:f>ABS(G433)</x:f>
        <x:v>0.5</x:v>
      </x:c>
      <x:c r="I433" s="24" t="n">
        <x:f>G433^2</x:f>
        <x:v>0.25</x:v>
      </x:c>
    </x:row>
    <x:row r="434">
      <x:c r="A434" t="str">
        <x:v>C060</x:v>
      </x:c>
      <x:c r="B434" t="str">
        <x:v>P060</x:v>
      </x:c>
      <x:c r="C434" t="str">
        <x:v>DE_BT_2021</x:v>
      </x:c>
      <x:c r="D434" t="str">
        <x:v>LINKE</x:v>
      </x:c>
      <x:c r="E434" s="24" t="n">
        <x:v>6</x:v>
      </x:c>
      <x:c r="F434" s="24" t="n">
        <x:v>4.9</x:v>
      </x:c>
      <x:c r="G434" s="24" t="n">
        <x:f>E434-F434</x:f>
        <x:v>1.0999999999999996</x:v>
      </x:c>
      <x:c r="H434" s="24" t="n">
        <x:f>ABS(G434)</x:f>
        <x:v>1.0999999999999996</x:v>
      </x:c>
      <x:c r="I434" s="24" t="n">
        <x:f>G434^2</x:f>
        <x:v>1.2099999999999993</x:v>
      </x:c>
    </x:row>
    <x:row r="435">
      <x:c r="A435" t="str">
        <x:v>C060</x:v>
      </x:c>
      <x:c r="B435" t="str">
        <x:v>P060</x:v>
      </x:c>
      <x:c r="C435" t="str">
        <x:v>DE_BT_2021</x:v>
      </x:c>
      <x:c r="D435" t="str">
        <x:v>AfD</x:v>
      </x:c>
      <x:c r="E435" s="24" t="n">
        <x:v>11</x:v>
      </x:c>
      <x:c r="F435" s="24" t="n">
        <x:v>10.3</x:v>
      </x:c>
      <x:c r="G435" s="24" t="n">
        <x:f>E435-F435</x:f>
        <x:v>0.6999999999999993</x:v>
      </x:c>
      <x:c r="H435" s="24" t="n">
        <x:f>ABS(G435)</x:f>
        <x:v>0.6999999999999993</x:v>
      </x:c>
      <x:c r="I435" s="24" t="n">
        <x:f>G435^2</x:f>
        <x:v>0.489999999999999</x:v>
      </x:c>
    </x:row>
    <x:row r="436">
      <x:c r="A436" t="str">
        <x:v>C060</x:v>
      </x:c>
      <x:c r="B436" t="str">
        <x:v>P060</x:v>
      </x:c>
      <x:c r="C436" t="str">
        <x:v>DE_BT_2021</x:v>
      </x:c>
      <x:c r="D436" t="str">
        <x:v>Sonstige</x:v>
      </x:c>
      <x:c r="E436" s="24" t="n">
        <x:v>9</x:v>
      </x:c>
      <x:c r="F436" s="24" t="n">
        <x:v>8.6</x:v>
      </x:c>
      <x:c r="G436" s="24" t="n">
        <x:f>E436-F436</x:f>
        <x:v>0.40000000000000036</x:v>
      </x:c>
      <x:c r="H436" s="24" t="n">
        <x:f>ABS(G436)</x:f>
        <x:v>0.40000000000000036</x:v>
      </x:c>
      <x:c r="I436" s="24" t="n">
        <x:f>G436^2</x:f>
        <x:v>0.16000000000000028</x:v>
      </x:c>
    </x:row>
    <x:row r="437">
      <x:c r="A437" t="str">
        <x:v>C061</x:v>
      </x:c>
      <x:c r="B437" t="str">
        <x:v>P061</x:v>
      </x:c>
      <x:c r="C437" t="str">
        <x:v>DE_BT_2021</x:v>
      </x:c>
      <x:c r="D437" t="str">
        <x:v>CDU/CSU</x:v>
      </x:c>
      <x:c r="E437" s="24" t="n">
        <x:v>22</x:v>
      </x:c>
      <x:c r="F437" s="24" t="n">
        <x:v>24.1</x:v>
      </x:c>
      <x:c r="G437" s="24" t="n">
        <x:f>E437-F437</x:f>
        <x:v>-2.1000000000000014</x:v>
      </x:c>
      <x:c r="H437" s="24" t="n">
        <x:f>ABS(G437)</x:f>
        <x:v>2.1000000000000014</x:v>
      </x:c>
      <x:c r="I437" s="24" t="n">
        <x:f>G437^2</x:f>
        <x:v>4.410000000000006</x:v>
      </x:c>
    </x:row>
    <x:row r="438">
      <x:c r="A438" t="str">
        <x:v>C061</x:v>
      </x:c>
      <x:c r="B438" t="str">
        <x:v>P061</x:v>
      </x:c>
      <x:c r="C438" t="str">
        <x:v>DE_BT_2021</x:v>
      </x:c>
      <x:c r="D438" t="str">
        <x:v>SPD</x:v>
      </x:c>
      <x:c r="E438" s="24" t="n">
        <x:v>25</x:v>
      </x:c>
      <x:c r="F438" s="24" t="n">
        <x:v>25.7</x:v>
      </x:c>
      <x:c r="G438" s="24" t="n">
        <x:f>E438-F438</x:f>
        <x:v>-0.6999999999999993</x:v>
      </x:c>
      <x:c r="H438" s="24" t="n">
        <x:f>ABS(G438)</x:f>
        <x:v>0.6999999999999993</x:v>
      </x:c>
      <x:c r="I438" s="24" t="n">
        <x:f>G438^2</x:f>
        <x:v>0.489999999999999</x:v>
      </x:c>
    </x:row>
    <x:row r="439">
      <x:c r="A439" t="str">
        <x:v>C061</x:v>
      </x:c>
      <x:c r="B439" t="str">
        <x:v>P061</x:v>
      </x:c>
      <x:c r="C439" t="str">
        <x:v>DE_BT_2021</x:v>
      </x:c>
      <x:c r="D439" t="str">
        <x:v>GRÜNE</x:v>
      </x:c>
      <x:c r="E439" s="24" t="n">
        <x:v>15</x:v>
      </x:c>
      <x:c r="F439" s="24" t="n">
        <x:v>14.8</x:v>
      </x:c>
      <x:c r="G439" s="24" t="n">
        <x:f>E439-F439</x:f>
        <x:v>0.1999999999999993</x:v>
      </x:c>
      <x:c r="H439" s="24" t="n">
        <x:f>ABS(G439)</x:f>
        <x:v>0.1999999999999993</x:v>
      </x:c>
      <x:c r="I439" s="24" t="n">
        <x:f>G439^2</x:f>
        <x:v>0.039999999999999716</x:v>
      </x:c>
    </x:row>
    <x:row r="440">
      <x:c r="A440" t="str">
        <x:v>C061</x:v>
      </x:c>
      <x:c r="B440" t="str">
        <x:v>P061</x:v>
      </x:c>
      <x:c r="C440" t="str">
        <x:v>DE_BT_2021</x:v>
      </x:c>
      <x:c r="D440" t="str">
        <x:v>FDP</x:v>
      </x:c>
      <x:c r="E440" s="24" t="n">
        <x:v>12</x:v>
      </x:c>
      <x:c r="F440" s="24" t="n">
        <x:v>11.5</x:v>
      </x:c>
      <x:c r="G440" s="24" t="n">
        <x:f>E440-F440</x:f>
        <x:v>0.5</x:v>
      </x:c>
      <x:c r="H440" s="24" t="n">
        <x:f>ABS(G440)</x:f>
        <x:v>0.5</x:v>
      </x:c>
      <x:c r="I440" s="24" t="n">
        <x:f>G440^2</x:f>
        <x:v>0.25</x:v>
      </x:c>
    </x:row>
    <x:row r="441">
      <x:c r="A441" t="str">
        <x:v>C061</x:v>
      </x:c>
      <x:c r="B441" t="str">
        <x:v>P061</x:v>
      </x:c>
      <x:c r="C441" t="str">
        <x:v>DE_BT_2021</x:v>
      </x:c>
      <x:c r="D441" t="str">
        <x:v>LINKE</x:v>
      </x:c>
      <x:c r="E441" s="24" t="n">
        <x:v>6.5</x:v>
      </x:c>
      <x:c r="F441" s="24" t="n">
        <x:v>4.9</x:v>
      </x:c>
      <x:c r="G441" s="24" t="n">
        <x:f>E441-F441</x:f>
        <x:v>1.5999999999999996</x:v>
      </x:c>
      <x:c r="H441" s="24" t="n">
        <x:f>ABS(G441)</x:f>
        <x:v>1.5999999999999996</x:v>
      </x:c>
      <x:c r="I441" s="24" t="n">
        <x:f>G441^2</x:f>
        <x:v>2.5599999999999987</x:v>
      </x:c>
    </x:row>
    <x:row r="442">
      <x:c r="A442" t="str">
        <x:v>C061</x:v>
      </x:c>
      <x:c r="B442" t="str">
        <x:v>P061</x:v>
      </x:c>
      <x:c r="C442" t="str">
        <x:v>DE_BT_2021</x:v>
      </x:c>
      <x:c r="D442" t="str">
        <x:v>AfD</x:v>
      </x:c>
      <x:c r="E442" s="24" t="n">
        <x:v>11</x:v>
      </x:c>
      <x:c r="F442" s="24" t="n">
        <x:v>10.3</x:v>
      </x:c>
      <x:c r="G442" s="24" t="n">
        <x:f>E442-F442</x:f>
        <x:v>0.6999999999999993</x:v>
      </x:c>
      <x:c r="H442" s="24" t="n">
        <x:f>ABS(G442)</x:f>
        <x:v>0.6999999999999993</x:v>
      </x:c>
      <x:c r="I442" s="24" t="n">
        <x:f>G442^2</x:f>
        <x:v>0.489999999999999</x:v>
      </x:c>
    </x:row>
    <x:row r="443">
      <x:c r="A443" t="str">
        <x:v>C061</x:v>
      </x:c>
      <x:c r="B443" t="str">
        <x:v>P061</x:v>
      </x:c>
      <x:c r="C443" t="str">
        <x:v>DE_BT_2021</x:v>
      </x:c>
      <x:c r="D443" t="str">
        <x:v>Sonstige</x:v>
      </x:c>
      <x:c r="E443" s="24" t="n">
        <x:v>8.5</x:v>
      </x:c>
      <x:c r="F443" s="24" t="n">
        <x:v>8.6</x:v>
      </x:c>
      <x:c r="G443" s="24" t="n">
        <x:f>E443-F443</x:f>
        <x:v>-0.09999999999999964</x:v>
      </x:c>
      <x:c r="H443" s="24" t="n">
        <x:f>ABS(G443)</x:f>
        <x:v>0.09999999999999964</x:v>
      </x:c>
      <x:c r="I443" s="24" t="n">
        <x:f>G443^2</x:f>
        <x:v>0.009999999999999929</x:v>
      </x:c>
    </x:row>
    <x:row r="444">
      <x:c r="A444" t="str">
        <x:v>C062</x:v>
      </x:c>
      <x:c r="B444" t="str">
        <x:v>P062</x:v>
      </x:c>
      <x:c r="C444" t="str">
        <x:v>DE_BT_2021</x:v>
      </x:c>
      <x:c r="D444" t="str">
        <x:v>CDU/CSU</x:v>
      </x:c>
      <x:c r="E444" s="24" t="n">
        <x:v>22</x:v>
      </x:c>
      <x:c r="F444" s="24" t="n">
        <x:v>24.1</x:v>
      </x:c>
      <x:c r="G444" s="24" t="n">
        <x:f>E444-F444</x:f>
        <x:v>-2.1000000000000014</x:v>
      </x:c>
      <x:c r="H444" s="24" t="n">
        <x:f>ABS(G444)</x:f>
        <x:v>2.1000000000000014</x:v>
      </x:c>
      <x:c r="I444" s="24" t="n">
        <x:f>G444^2</x:f>
        <x:v>4.410000000000006</x:v>
      </x:c>
    </x:row>
    <x:row r="445">
      <x:c r="A445" t="str">
        <x:v>C062</x:v>
      </x:c>
      <x:c r="B445" t="str">
        <x:v>P062</x:v>
      </x:c>
      <x:c r="C445" t="str">
        <x:v>DE_BT_2021</x:v>
      </x:c>
      <x:c r="D445" t="str">
        <x:v>SPD</x:v>
      </x:c>
      <x:c r="E445" s="24" t="n">
        <x:v>25</x:v>
      </x:c>
      <x:c r="F445" s="24" t="n">
        <x:v>25.7</x:v>
      </x:c>
      <x:c r="G445" s="24" t="n">
        <x:f>E445-F445</x:f>
        <x:v>-0.6999999999999993</x:v>
      </x:c>
      <x:c r="H445" s="24" t="n">
        <x:f>ABS(G445)</x:f>
        <x:v>0.6999999999999993</x:v>
      </x:c>
      <x:c r="I445" s="24" t="n">
        <x:f>G445^2</x:f>
        <x:v>0.489999999999999</x:v>
      </x:c>
    </x:row>
    <x:row r="446">
      <x:c r="A446" t="str">
        <x:v>C062</x:v>
      </x:c>
      <x:c r="B446" t="str">
        <x:v>P062</x:v>
      </x:c>
      <x:c r="C446" t="str">
        <x:v>DE_BT_2021</x:v>
      </x:c>
      <x:c r="D446" t="str">
        <x:v>GRÜNE</x:v>
      </x:c>
      <x:c r="E446" s="24" t="n">
        <x:v>17</x:v>
      </x:c>
      <x:c r="F446" s="24" t="n">
        <x:v>14.8</x:v>
      </x:c>
      <x:c r="G446" s="24" t="n">
        <x:f>E446-F446</x:f>
        <x:v>2.1999999999999993</x:v>
      </x:c>
      <x:c r="H446" s="24" t="n">
        <x:f>ABS(G446)</x:f>
        <x:v>2.1999999999999993</x:v>
      </x:c>
      <x:c r="I446" s="24" t="n">
        <x:f>G446^2</x:f>
        <x:v>4.839999999999997</x:v>
      </x:c>
    </x:row>
    <x:row r="447">
      <x:c r="A447" t="str">
        <x:v>C062</x:v>
      </x:c>
      <x:c r="B447" t="str">
        <x:v>P062</x:v>
      </x:c>
      <x:c r="C447" t="str">
        <x:v>DE_BT_2021</x:v>
      </x:c>
      <x:c r="D447" t="str">
        <x:v>FDP</x:v>
      </x:c>
      <x:c r="E447" s="24" t="n">
        <x:v>12</x:v>
      </x:c>
      <x:c r="F447" s="24" t="n">
        <x:v>11.5</x:v>
      </x:c>
      <x:c r="G447" s="24" t="n">
        <x:f>E447-F447</x:f>
        <x:v>0.5</x:v>
      </x:c>
      <x:c r="H447" s="24" t="n">
        <x:f>ABS(G447)</x:f>
        <x:v>0.5</x:v>
      </x:c>
      <x:c r="I447" s="24" t="n">
        <x:f>G447^2</x:f>
        <x:v>0.25</x:v>
      </x:c>
    </x:row>
    <x:row r="448">
      <x:c r="A448" t="str">
        <x:v>C062</x:v>
      </x:c>
      <x:c r="B448" t="str">
        <x:v>P062</x:v>
      </x:c>
      <x:c r="C448" t="str">
        <x:v>DE_BT_2021</x:v>
      </x:c>
      <x:c r="D448" t="str">
        <x:v>LINKE</x:v>
      </x:c>
      <x:c r="E448" s="24" t="n">
        <x:v>6</x:v>
      </x:c>
      <x:c r="F448" s="24" t="n">
        <x:v>4.9</x:v>
      </x:c>
      <x:c r="G448" s="24" t="n">
        <x:f>E448-F448</x:f>
        <x:v>1.0999999999999996</x:v>
      </x:c>
      <x:c r="H448" s="24" t="n">
        <x:f>ABS(G448)</x:f>
        <x:v>1.0999999999999996</x:v>
      </x:c>
      <x:c r="I448" s="24" t="n">
        <x:f>G448^2</x:f>
        <x:v>1.2099999999999993</x:v>
      </x:c>
    </x:row>
    <x:row r="449">
      <x:c r="A449" t="str">
        <x:v>C062</x:v>
      </x:c>
      <x:c r="B449" t="str">
        <x:v>P062</x:v>
      </x:c>
      <x:c r="C449" t="str">
        <x:v>DE_BT_2021</x:v>
      </x:c>
      <x:c r="D449" t="str">
        <x:v>AfD</x:v>
      </x:c>
      <x:c r="E449" s="24" t="n">
        <x:v>10</x:v>
      </x:c>
      <x:c r="F449" s="24" t="n">
        <x:v>10.3</x:v>
      </x:c>
      <x:c r="G449" s="24" t="n">
        <x:f>E449-F449</x:f>
        <x:v>-0.3000000000000007</x:v>
      </x:c>
      <x:c r="H449" s="24" t="n">
        <x:f>ABS(G449)</x:f>
        <x:v>0.3000000000000007</x:v>
      </x:c>
      <x:c r="I449" s="24" t="n">
        <x:f>G449^2</x:f>
        <x:v>0.09000000000000043</x:v>
      </x:c>
    </x:row>
    <x:row r="450">
      <x:c r="A450" t="str">
        <x:v>C062</x:v>
      </x:c>
      <x:c r="B450" t="str">
        <x:v>P062</x:v>
      </x:c>
      <x:c r="C450" t="str">
        <x:v>DE_BT_2021</x:v>
      </x:c>
      <x:c r="D450" t="str">
        <x:v>Sonstige</x:v>
      </x:c>
      <x:c r="E450" s="24" t="n">
        <x:v>8</x:v>
      </x:c>
      <x:c r="F450" s="24" t="n">
        <x:v>8.6</x:v>
      </x:c>
      <x:c r="G450" s="24" t="n">
        <x:f>E450-F450</x:f>
        <x:v>-0.5999999999999996</x:v>
      </x:c>
      <x:c r="H450" s="24" t="n">
        <x:f>ABS(G450)</x:f>
        <x:v>0.5999999999999996</x:v>
      </x:c>
      <x:c r="I450" s="24" t="n">
        <x:f>G450^2</x:f>
        <x:v>0.3599999999999996</x:v>
      </x:c>
    </x:row>
    <x:row r="451">
      <x:c r="A451" t="str">
        <x:v>C063</x:v>
      </x:c>
      <x:c r="B451" t="str">
        <x:v>P063</x:v>
      </x:c>
      <x:c r="C451" t="str">
        <x:v>DE_BT_2021</x:v>
      </x:c>
      <x:c r="D451" t="str">
        <x:v>CDU/CSU</x:v>
      </x:c>
      <x:c r="E451" s="24" t="n">
        <x:v>21</x:v>
      </x:c>
      <x:c r="F451" s="24" t="n">
        <x:v>24.1</x:v>
      </x:c>
      <x:c r="G451" s="24" t="n">
        <x:f>E451-F451</x:f>
        <x:v>-3.1000000000000014</x:v>
      </x:c>
      <x:c r="H451" s="24" t="n">
        <x:f>ABS(G451)</x:f>
        <x:v>3.1000000000000014</x:v>
      </x:c>
      <x:c r="I451" s="24" t="n">
        <x:f>G451^2</x:f>
        <x:v>9.610000000000008</x:v>
      </x:c>
    </x:row>
    <x:row r="452">
      <x:c r="A452" t="str">
        <x:v>C063</x:v>
      </x:c>
      <x:c r="B452" t="str">
        <x:v>P063</x:v>
      </x:c>
      <x:c r="C452" t="str">
        <x:v>DE_BT_2021</x:v>
      </x:c>
      <x:c r="D452" t="str">
        <x:v>SPD</x:v>
      </x:c>
      <x:c r="E452" s="24" t="n">
        <x:v>25</x:v>
      </x:c>
      <x:c r="F452" s="24" t="n">
        <x:v>25.7</x:v>
      </x:c>
      <x:c r="G452" s="24" t="n">
        <x:f>E452-F452</x:f>
        <x:v>-0.6999999999999993</x:v>
      </x:c>
      <x:c r="H452" s="24" t="n">
        <x:f>ABS(G452)</x:f>
        <x:v>0.6999999999999993</x:v>
      </x:c>
      <x:c r="I452" s="24" t="n">
        <x:f>G452^2</x:f>
        <x:v>0.489999999999999</x:v>
      </x:c>
    </x:row>
    <x:row r="453">
      <x:c r="A453" t="str">
        <x:v>C063</x:v>
      </x:c>
      <x:c r="B453" t="str">
        <x:v>P063</x:v>
      </x:c>
      <x:c r="C453" t="str">
        <x:v>DE_BT_2021</x:v>
      </x:c>
      <x:c r="D453" t="str">
        <x:v>GRÜNE</x:v>
      </x:c>
      <x:c r="E453" s="24" t="n">
        <x:v>16</x:v>
      </x:c>
      <x:c r="F453" s="24" t="n">
        <x:v>14.8</x:v>
      </x:c>
      <x:c r="G453" s="24" t="n">
        <x:f>E453-F453</x:f>
        <x:v>1.1999999999999993</x:v>
      </x:c>
      <x:c r="H453" s="24" t="n">
        <x:f>ABS(G453)</x:f>
        <x:v>1.1999999999999993</x:v>
      </x:c>
      <x:c r="I453" s="24" t="n">
        <x:f>G453^2</x:f>
        <x:v>1.4399999999999984</x:v>
      </x:c>
    </x:row>
    <x:row r="454">
      <x:c r="A454" t="str">
        <x:v>C063</x:v>
      </x:c>
      <x:c r="B454" t="str">
        <x:v>P063</x:v>
      </x:c>
      <x:c r="C454" t="str">
        <x:v>DE_BT_2021</x:v>
      </x:c>
      <x:c r="D454" t="str">
        <x:v>FDP</x:v>
      </x:c>
      <x:c r="E454" s="24" t="n">
        <x:v>11</x:v>
      </x:c>
      <x:c r="F454" s="24" t="n">
        <x:v>11.5</x:v>
      </x:c>
      <x:c r="G454" s="24" t="n">
        <x:f>E454-F454</x:f>
        <x:v>-0.5</x:v>
      </x:c>
      <x:c r="H454" s="24" t="n">
        <x:f>ABS(G454)</x:f>
        <x:v>0.5</x:v>
      </x:c>
      <x:c r="I454" s="24" t="n">
        <x:f>G454^2</x:f>
        <x:v>0.25</x:v>
      </x:c>
    </x:row>
    <x:row r="455">
      <x:c r="A455" t="str">
        <x:v>C063</x:v>
      </x:c>
      <x:c r="B455" t="str">
        <x:v>P063</x:v>
      </x:c>
      <x:c r="C455" t="str">
        <x:v>DE_BT_2021</x:v>
      </x:c>
      <x:c r="D455" t="str">
        <x:v>LINKE</x:v>
      </x:c>
      <x:c r="E455" s="24" t="n">
        <x:v>7</x:v>
      </x:c>
      <x:c r="F455" s="24" t="n">
        <x:v>4.9</x:v>
      </x:c>
      <x:c r="G455" s="24" t="n">
        <x:f>E455-F455</x:f>
        <x:v>2.0999999999999996</x:v>
      </x:c>
      <x:c r="H455" s="24" t="n">
        <x:f>ABS(G455)</x:f>
        <x:v>2.0999999999999996</x:v>
      </x:c>
      <x:c r="I455" s="24" t="n">
        <x:f>G455^2</x:f>
        <x:v>4.409999999999998</x:v>
      </x:c>
    </x:row>
    <x:row r="456">
      <x:c r="A456" t="str">
        <x:v>C063</x:v>
      </x:c>
      <x:c r="B456" t="str">
        <x:v>P063</x:v>
      </x:c>
      <x:c r="C456" t="str">
        <x:v>DE_BT_2021</x:v>
      </x:c>
      <x:c r="D456" t="str">
        <x:v>AfD</x:v>
      </x:c>
      <x:c r="E456" s="24" t="n">
        <x:v>11</x:v>
      </x:c>
      <x:c r="F456" s="24" t="n">
        <x:v>10.3</x:v>
      </x:c>
      <x:c r="G456" s="24" t="n">
        <x:f>E456-F456</x:f>
        <x:v>0.6999999999999993</x:v>
      </x:c>
      <x:c r="H456" s="24" t="n">
        <x:f>ABS(G456)</x:f>
        <x:v>0.6999999999999993</x:v>
      </x:c>
      <x:c r="I456" s="24" t="n">
        <x:f>G456^2</x:f>
        <x:v>0.489999999999999</x:v>
      </x:c>
    </x:row>
    <x:row r="457">
      <x:c r="A457" t="str">
        <x:v>C063</x:v>
      </x:c>
      <x:c r="B457" t="str">
        <x:v>P063</x:v>
      </x:c>
      <x:c r="C457" t="str">
        <x:v>DE_BT_2021</x:v>
      </x:c>
      <x:c r="D457" t="str">
        <x:v>Sonstige</x:v>
      </x:c>
      <x:c r="E457" s="24" t="n">
        <x:v>9</x:v>
      </x:c>
      <x:c r="F457" s="24" t="n">
        <x:v>8.6</x:v>
      </x:c>
      <x:c r="G457" s="24" t="n">
        <x:f>E457-F457</x:f>
        <x:v>0.40000000000000036</x:v>
      </x:c>
      <x:c r="H457" s="24" t="n">
        <x:f>ABS(G457)</x:f>
        <x:v>0.40000000000000036</x:v>
      </x:c>
      <x:c r="I457" s="24" t="n">
        <x:f>G457^2</x:f>
        <x:v>0.16000000000000028</x:v>
      </x:c>
    </x:row>
    <x:row r="458">
      <x:c r="A458" t="str">
        <x:v>C064</x:v>
      </x:c>
      <x:c r="B458" t="str">
        <x:v>P064</x:v>
      </x:c>
      <x:c r="C458" t="str">
        <x:v>DE_BT_2021</x:v>
      </x:c>
      <x:c r="D458" t="str">
        <x:v>CDU/CSU</x:v>
      </x:c>
      <x:c r="E458" s="24" t="n">
        <x:v>21</x:v>
      </x:c>
      <x:c r="F458" s="24" t="n">
        <x:v>24.1</x:v>
      </x:c>
      <x:c r="G458" s="24" t="n">
        <x:f>E458-F458</x:f>
        <x:v>-3.1000000000000014</x:v>
      </x:c>
      <x:c r="H458" s="24" t="n">
        <x:f>ABS(G458)</x:f>
        <x:v>3.1000000000000014</x:v>
      </x:c>
      <x:c r="I458" s="24" t="n">
        <x:f>G458^2</x:f>
        <x:v>9.610000000000008</x:v>
      </x:c>
    </x:row>
    <x:row r="459">
      <x:c r="A459" t="str">
        <x:v>C064</x:v>
      </x:c>
      <x:c r="B459" t="str">
        <x:v>P064</x:v>
      </x:c>
      <x:c r="C459" t="str">
        <x:v>DE_BT_2021</x:v>
      </x:c>
      <x:c r="D459" t="str">
        <x:v>SPD</x:v>
      </x:c>
      <x:c r="E459" s="24" t="n">
        <x:v>25</x:v>
      </x:c>
      <x:c r="F459" s="24" t="n">
        <x:v>25.7</x:v>
      </x:c>
      <x:c r="G459" s="24" t="n">
        <x:f>E459-F459</x:f>
        <x:v>-0.6999999999999993</x:v>
      </x:c>
      <x:c r="H459" s="24" t="n">
        <x:f>ABS(G459)</x:f>
        <x:v>0.6999999999999993</x:v>
      </x:c>
      <x:c r="I459" s="24" t="n">
        <x:f>G459^2</x:f>
        <x:v>0.489999999999999</x:v>
      </x:c>
    </x:row>
    <x:row r="460">
      <x:c r="A460" t="str">
        <x:v>C064</x:v>
      </x:c>
      <x:c r="B460" t="str">
        <x:v>P064</x:v>
      </x:c>
      <x:c r="C460" t="str">
        <x:v>DE_BT_2021</x:v>
      </x:c>
      <x:c r="D460" t="str">
        <x:v>GRÜNE</x:v>
      </x:c>
      <x:c r="E460" s="24" t="n">
        <x:v>14</x:v>
      </x:c>
      <x:c r="F460" s="24" t="n">
        <x:v>14.8</x:v>
      </x:c>
      <x:c r="G460" s="24" t="n">
        <x:f>E460-F460</x:f>
        <x:v>-0.8000000000000007</x:v>
      </x:c>
      <x:c r="H460" s="24" t="n">
        <x:f>ABS(G460)</x:f>
        <x:v>0.8000000000000007</x:v>
      </x:c>
      <x:c r="I460" s="24" t="n">
        <x:f>G460^2</x:f>
        <x:v>0.6400000000000011</x:v>
      </x:c>
    </x:row>
    <x:row r="461">
      <x:c r="A461" t="str">
        <x:v>C064</x:v>
      </x:c>
      <x:c r="B461" t="str">
        <x:v>P064</x:v>
      </x:c>
      <x:c r="C461" t="str">
        <x:v>DE_BT_2021</x:v>
      </x:c>
      <x:c r="D461" t="str">
        <x:v>FDP</x:v>
      </x:c>
      <x:c r="E461" s="24" t="n">
        <x:v>11</x:v>
      </x:c>
      <x:c r="F461" s="24" t="n">
        <x:v>11.5</x:v>
      </x:c>
      <x:c r="G461" s="24" t="n">
        <x:f>E461-F461</x:f>
        <x:v>-0.5</x:v>
      </x:c>
      <x:c r="H461" s="24" t="n">
        <x:f>ABS(G461)</x:f>
        <x:v>0.5</x:v>
      </x:c>
      <x:c r="I461" s="24" t="n">
        <x:f>G461^2</x:f>
        <x:v>0.25</x:v>
      </x:c>
    </x:row>
    <x:row r="462">
      <x:c r="A462" t="str">
        <x:v>C064</x:v>
      </x:c>
      <x:c r="B462" t="str">
        <x:v>P064</x:v>
      </x:c>
      <x:c r="C462" t="str">
        <x:v>DE_BT_2021</x:v>
      </x:c>
      <x:c r="D462" t="str">
        <x:v>LINKE</x:v>
      </x:c>
      <x:c r="E462" s="24" t="n">
        <x:v>7</x:v>
      </x:c>
      <x:c r="F462" s="24" t="n">
        <x:v>4.9</x:v>
      </x:c>
      <x:c r="G462" s="24" t="n">
        <x:f>E462-F462</x:f>
        <x:v>2.0999999999999996</x:v>
      </x:c>
      <x:c r="H462" s="24" t="n">
        <x:f>ABS(G462)</x:f>
        <x:v>2.0999999999999996</x:v>
      </x:c>
      <x:c r="I462" s="24" t="n">
        <x:f>G462^2</x:f>
        <x:v>4.409999999999998</x:v>
      </x:c>
    </x:row>
    <x:row r="463">
      <x:c r="A463" t="str">
        <x:v>C064</x:v>
      </x:c>
      <x:c r="B463" t="str">
        <x:v>P064</x:v>
      </x:c>
      <x:c r="C463" t="str">
        <x:v>DE_BT_2021</x:v>
      </x:c>
      <x:c r="D463" t="str">
        <x:v>AfD</x:v>
      </x:c>
      <x:c r="E463" s="24" t="n">
        <x:v>12</x:v>
      </x:c>
      <x:c r="F463" s="24" t="n">
        <x:v>10.3</x:v>
      </x:c>
      <x:c r="G463" s="24" t="n">
        <x:f>E463-F463</x:f>
        <x:v>1.6999999999999993</x:v>
      </x:c>
      <x:c r="H463" s="24" t="n">
        <x:f>ABS(G463)</x:f>
        <x:v>1.6999999999999993</x:v>
      </x:c>
      <x:c r="I463" s="24" t="n">
        <x:f>G463^2</x:f>
        <x:v>2.8899999999999975</x:v>
      </x:c>
    </x:row>
    <x:row r="464">
      <x:c r="A464" t="str">
        <x:v>C064</x:v>
      </x:c>
      <x:c r="B464" t="str">
        <x:v>P064</x:v>
      </x:c>
      <x:c r="C464" t="str">
        <x:v>DE_BT_2021</x:v>
      </x:c>
      <x:c r="D464" t="str">
        <x:v>Sonstige</x:v>
      </x:c>
      <x:c r="E464" s="24" t="n">
        <x:v>9</x:v>
      </x:c>
      <x:c r="F464" s="24" t="n">
        <x:v>8.6</x:v>
      </x:c>
      <x:c r="G464" s="24" t="n">
        <x:f>E464-F464</x:f>
        <x:v>0.40000000000000036</x:v>
      </x:c>
      <x:c r="H464" s="24" t="n">
        <x:f>ABS(G464)</x:f>
        <x:v>0.40000000000000036</x:v>
      </x:c>
      <x:c r="I464" s="24" t="n">
        <x:f>G464^2</x:f>
        <x:v>0.16000000000000028</x:v>
      </x:c>
    </x:row>
    <x:row r="465">
      <x:c r="A465" t="str">
        <x:v>C065</x:v>
      </x:c>
      <x:c r="B465" t="str">
        <x:v>P065</x:v>
      </x:c>
      <x:c r="C465" t="str">
        <x:v>DE_BT_2021</x:v>
      </x:c>
      <x:c r="D465" t="str">
        <x:v>CDU/CSU</x:v>
      </x:c>
      <x:c r="E465" s="24" t="n">
        <x:v>22</x:v>
      </x:c>
      <x:c r="F465" s="24" t="n">
        <x:v>24.1</x:v>
      </x:c>
      <x:c r="G465" s="24" t="n">
        <x:f>E465-F465</x:f>
        <x:v>-2.1000000000000014</x:v>
      </x:c>
      <x:c r="H465" s="24" t="n">
        <x:f>ABS(G465)</x:f>
        <x:v>2.1000000000000014</x:v>
      </x:c>
      <x:c r="I465" s="24" t="n">
        <x:f>G465^2</x:f>
        <x:v>4.410000000000006</x:v>
      </x:c>
    </x:row>
    <x:row r="466">
      <x:c r="A466" t="str">
        <x:v>C065</x:v>
      </x:c>
      <x:c r="B466" t="str">
        <x:v>P065</x:v>
      </x:c>
      <x:c r="C466" t="str">
        <x:v>DE_BT_2021</x:v>
      </x:c>
      <x:c r="D466" t="str">
        <x:v>SPD</x:v>
      </x:c>
      <x:c r="E466" s="24" t="n">
        <x:v>26</x:v>
      </x:c>
      <x:c r="F466" s="24" t="n">
        <x:v>25.7</x:v>
      </x:c>
      <x:c r="G466" s="24" t="n">
        <x:f>E466-F466</x:f>
        <x:v>0.3000000000000007</x:v>
      </x:c>
      <x:c r="H466" s="24" t="n">
        <x:f>ABS(G466)</x:f>
        <x:v>0.3000000000000007</x:v>
      </x:c>
      <x:c r="I466" s="24" t="n">
        <x:f>G466^2</x:f>
        <x:v>0.09000000000000043</x:v>
      </x:c>
    </x:row>
    <x:row r="467">
      <x:c r="A467" t="str">
        <x:v>C065</x:v>
      </x:c>
      <x:c r="B467" t="str">
        <x:v>P065</x:v>
      </x:c>
      <x:c r="C467" t="str">
        <x:v>DE_BT_2021</x:v>
      </x:c>
      <x:c r="D467" t="str">
        <x:v>GRÜNE</x:v>
      </x:c>
      <x:c r="E467" s="24" t="n">
        <x:v>16</x:v>
      </x:c>
      <x:c r="F467" s="24" t="n">
        <x:v>14.8</x:v>
      </x:c>
      <x:c r="G467" s="24" t="n">
        <x:f>E467-F467</x:f>
        <x:v>1.1999999999999993</x:v>
      </x:c>
      <x:c r="H467" s="24" t="n">
        <x:f>ABS(G467)</x:f>
        <x:v>1.1999999999999993</x:v>
      </x:c>
      <x:c r="I467" s="24" t="n">
        <x:f>G467^2</x:f>
        <x:v>1.4399999999999984</x:v>
      </x:c>
    </x:row>
    <x:row r="468">
      <x:c r="A468" t="str">
        <x:v>C065</x:v>
      </x:c>
      <x:c r="B468" t="str">
        <x:v>P065</x:v>
      </x:c>
      <x:c r="C468" t="str">
        <x:v>DE_BT_2021</x:v>
      </x:c>
      <x:c r="D468" t="str">
        <x:v>FDP</x:v>
      </x:c>
      <x:c r="E468" s="24" t="n">
        <x:v>12</x:v>
      </x:c>
      <x:c r="F468" s="24" t="n">
        <x:v>11.5</x:v>
      </x:c>
      <x:c r="G468" s="24" t="n">
        <x:f>E468-F468</x:f>
        <x:v>0.5</x:v>
      </x:c>
      <x:c r="H468" s="24" t="n">
        <x:f>ABS(G468)</x:f>
        <x:v>0.5</x:v>
      </x:c>
      <x:c r="I468" s="24" t="n">
        <x:f>G468^2</x:f>
        <x:v>0.25</x:v>
      </x:c>
    </x:row>
    <x:row r="469">
      <x:c r="A469" t="str">
        <x:v>C065</x:v>
      </x:c>
      <x:c r="B469" t="str">
        <x:v>P065</x:v>
      </x:c>
      <x:c r="C469" t="str">
        <x:v>DE_BT_2021</x:v>
      </x:c>
      <x:c r="D469" t="str">
        <x:v>LINKE</x:v>
      </x:c>
      <x:c r="E469" s="24" t="n">
        <x:v>7</x:v>
      </x:c>
      <x:c r="F469" s="24" t="n">
        <x:v>4.9</x:v>
      </x:c>
      <x:c r="G469" s="24" t="n">
        <x:f>E469-F469</x:f>
        <x:v>2.0999999999999996</x:v>
      </x:c>
      <x:c r="H469" s="24" t="n">
        <x:f>ABS(G469)</x:f>
        <x:v>2.0999999999999996</x:v>
      </x:c>
      <x:c r="I469" s="24" t="n">
        <x:f>G469^2</x:f>
        <x:v>4.409999999999998</x:v>
      </x:c>
    </x:row>
    <x:row r="470">
      <x:c r="A470" t="str">
        <x:v>C065</x:v>
      </x:c>
      <x:c r="B470" t="str">
        <x:v>P065</x:v>
      </x:c>
      <x:c r="C470" t="str">
        <x:v>DE_BT_2021</x:v>
      </x:c>
      <x:c r="D470" t="str">
        <x:v>AfD</x:v>
      </x:c>
      <x:c r="E470" s="24" t="n">
        <x:v>11</x:v>
      </x:c>
      <x:c r="F470" s="24" t="n">
        <x:v>10.3</x:v>
      </x:c>
      <x:c r="G470" s="24" t="n">
        <x:f>E470-F470</x:f>
        <x:v>0.6999999999999993</x:v>
      </x:c>
      <x:c r="H470" s="24" t="n">
        <x:f>ABS(G470)</x:f>
        <x:v>0.6999999999999993</x:v>
      </x:c>
      <x:c r="I470" s="24" t="n">
        <x:f>G470^2</x:f>
        <x:v>0.489999999999999</x:v>
      </x:c>
    </x:row>
    <x:row r="471">
      <x:c r="A471" t="str">
        <x:v>C065</x:v>
      </x:c>
      <x:c r="B471" t="str">
        <x:v>P065</x:v>
      </x:c>
      <x:c r="C471" t="str">
        <x:v>DE_BT_2021</x:v>
      </x:c>
      <x:c r="D471" t="str">
        <x:v>Sonstige</x:v>
      </x:c>
      <x:c r="E471" s="24" t="n">
        <x:v>6</x:v>
      </x:c>
      <x:c r="F471" s="24" t="n">
        <x:v>8.6</x:v>
      </x:c>
      <x:c r="G471" s="24" t="n">
        <x:f>E471-F471</x:f>
        <x:v>-2.5999999999999996</x:v>
      </x:c>
      <x:c r="H471" s="24" t="n">
        <x:f>ABS(G471)</x:f>
        <x:v>2.5999999999999996</x:v>
      </x:c>
      <x:c r="I471" s="24" t="n">
        <x:f>G471^2</x:f>
        <x:v>6.759999999999998</x:v>
      </x:c>
    </x:row>
    <x:row r="472">
      <x:c r="A472" t="str">
        <x:v>C066</x:v>
      </x:c>
      <x:c r="B472" t="str">
        <x:v>P066</x:v>
      </x:c>
      <x:c r="C472" t="str">
        <x:v>DE_ST_2021</x:v>
      </x:c>
      <x:c r="D472" t="str">
        <x:v>CDU</x:v>
      </x:c>
      <x:c r="E472" s="24" t="n">
        <x:v>30</x:v>
      </x:c>
      <x:c r="F472" s="24" t="n">
        <x:v>37.1</x:v>
      </x:c>
      <x:c r="G472" s="24" t="n">
        <x:f>E472-F472</x:f>
        <x:v>-7.100000000000001</x:v>
      </x:c>
      <x:c r="H472" s="24" t="n">
        <x:f>ABS(G472)</x:f>
        <x:v>7.100000000000001</x:v>
      </x:c>
      <x:c r="I472" s="24" t="n">
        <x:f>G472^2</x:f>
        <x:v>50.41000000000002</x:v>
      </x:c>
    </x:row>
    <x:row r="473">
      <x:c r="A473" t="str">
        <x:v>C066</x:v>
      </x:c>
      <x:c r="B473" t="str">
        <x:v>P066</x:v>
      </x:c>
      <x:c r="C473" t="str">
        <x:v>DE_ST_2021</x:v>
      </x:c>
      <x:c r="D473" t="str">
        <x:v>SPD</x:v>
      </x:c>
      <x:c r="E473" s="24" t="n">
        <x:v>10</x:v>
      </x:c>
      <x:c r="F473" s="24" t="n">
        <x:v>8.4</x:v>
      </x:c>
      <x:c r="G473" s="24" t="n">
        <x:f>E473-F473</x:f>
        <x:v>1.5999999999999996</x:v>
      </x:c>
      <x:c r="H473" s="24" t="n">
        <x:f>ABS(G473)</x:f>
        <x:v>1.5999999999999996</x:v>
      </x:c>
      <x:c r="I473" s="24" t="n">
        <x:f>G473^2</x:f>
        <x:v>2.5599999999999987</x:v>
      </x:c>
    </x:row>
    <x:row r="474">
      <x:c r="A474" t="str">
        <x:v>C066</x:v>
      </x:c>
      <x:c r="B474" t="str">
        <x:v>P066</x:v>
      </x:c>
      <x:c r="C474" t="str">
        <x:v>DE_ST_2021</x:v>
      </x:c>
      <x:c r="D474" t="str">
        <x:v>GRÜNE</x:v>
      </x:c>
      <x:c r="E474" s="24" t="n">
        <x:v>9</x:v>
      </x:c>
      <x:c r="F474" s="24" t="n">
        <x:v>5.9</x:v>
      </x:c>
      <x:c r="G474" s="24" t="n">
        <x:f>E474-F474</x:f>
        <x:v>3.0999999999999996</x:v>
      </x:c>
      <x:c r="H474" s="24" t="n">
        <x:f>ABS(G474)</x:f>
        <x:v>3.0999999999999996</x:v>
      </x:c>
      <x:c r="I474" s="24" t="n">
        <x:f>G474^2</x:f>
        <x:v>9.609999999999998</x:v>
      </x:c>
    </x:row>
    <x:row r="475">
      <x:c r="A475" t="str">
        <x:v>C066</x:v>
      </x:c>
      <x:c r="B475" t="str">
        <x:v>P066</x:v>
      </x:c>
      <x:c r="C475" t="str">
        <x:v>DE_ST_2021</x:v>
      </x:c>
      <x:c r="D475" t="str">
        <x:v>FDP</x:v>
      </x:c>
      <x:c r="E475" s="24" t="n">
        <x:v>6.5</x:v>
      </x:c>
      <x:c r="F475" s="24" t="n">
        <x:v>6.4</x:v>
      </x:c>
      <x:c r="G475" s="24" t="n">
        <x:f>E475-F475</x:f>
        <x:v>0.09999999999999964</x:v>
      </x:c>
      <x:c r="H475" s="24" t="n">
        <x:f>ABS(G475)</x:f>
        <x:v>0.09999999999999964</x:v>
      </x:c>
      <x:c r="I475" s="24" t="n">
        <x:f>G475^2</x:f>
        <x:v>0.009999999999999929</x:v>
      </x:c>
    </x:row>
    <x:row r="476">
      <x:c r="A476" t="str">
        <x:v>C066</x:v>
      </x:c>
      <x:c r="B476" t="str">
        <x:v>P066</x:v>
      </x:c>
      <x:c r="C476" t="str">
        <x:v>DE_ST_2021</x:v>
      </x:c>
      <x:c r="D476" t="str">
        <x:v>LINKE</x:v>
      </x:c>
      <x:c r="E476" s="24" t="n">
        <x:v>11.5</x:v>
      </x:c>
      <x:c r="F476" s="24" t="n">
        <x:v>11</x:v>
      </x:c>
      <x:c r="G476" s="24" t="n">
        <x:f>E476-F476</x:f>
        <x:v>0.5</x:v>
      </x:c>
      <x:c r="H476" s="24" t="n">
        <x:f>ABS(G476)</x:f>
        <x:v>0.5</x:v>
      </x:c>
      <x:c r="I476" s="24" t="n">
        <x:f>G476^2</x:f>
        <x:v>0.25</x:v>
      </x:c>
    </x:row>
    <x:row r="477">
      <x:c r="A477" t="str">
        <x:v>C066</x:v>
      </x:c>
      <x:c r="B477" t="str">
        <x:v>P066</x:v>
      </x:c>
      <x:c r="C477" t="str">
        <x:v>DE_ST_2021</x:v>
      </x:c>
      <x:c r="D477" t="str">
        <x:v>AfD</x:v>
      </x:c>
      <x:c r="E477" s="24" t="n">
        <x:v>23</x:v>
      </x:c>
      <x:c r="F477" s="24" t="n">
        <x:v>20.8</x:v>
      </x:c>
      <x:c r="G477" s="24" t="n">
        <x:f>E477-F477</x:f>
        <x:v>2.1999999999999993</x:v>
      </x:c>
      <x:c r="H477" s="24" t="n">
        <x:f>ABS(G477)</x:f>
        <x:v>2.1999999999999993</x:v>
      </x:c>
      <x:c r="I477" s="24" t="n">
        <x:f>G477^2</x:f>
        <x:v>4.839999999999997</x:v>
      </x:c>
    </x:row>
    <x:row r="478">
      <x:c r="A478" t="str">
        <x:v>C066</x:v>
      </x:c>
      <x:c r="B478" t="str">
        <x:v>P066</x:v>
      </x:c>
      <x:c r="C478" t="str">
        <x:v>DE_ST_2021</x:v>
      </x:c>
      <x:c r="D478" t="str">
        <x:v>Sonstige</x:v>
      </x:c>
      <x:c r="E478" s="24" t="n">
        <x:v>10</x:v>
      </x:c>
      <x:c r="F478" s="24" t="n">
        <x:v>10.4</x:v>
      </x:c>
      <x:c r="G478" s="24" t="n">
        <x:f>E478-F478</x:f>
        <x:v>-0.40000000000000036</x:v>
      </x:c>
      <x:c r="H478" s="24" t="n">
        <x:f>ABS(G478)</x:f>
        <x:v>0.40000000000000036</x:v>
      </x:c>
      <x:c r="I478" s="24" t="n">
        <x:f>G478^2</x:f>
        <x:v>0.16000000000000028</x:v>
      </x:c>
    </x:row>
    <x:row r="479">
      <x:c r="A479" t="str">
        <x:v>C067</x:v>
      </x:c>
      <x:c r="B479" t="str">
        <x:v>P067</x:v>
      </x:c>
      <x:c r="C479" t="str">
        <x:v>DE_ST_2021</x:v>
      </x:c>
      <x:c r="D479" t="str">
        <x:v>CDU</x:v>
      </x:c>
      <x:c r="E479" s="24" t="n">
        <x:v>28</x:v>
      </x:c>
      <x:c r="F479" s="24" t="n">
        <x:v>37.1</x:v>
      </x:c>
      <x:c r="G479" s="24" t="n">
        <x:f>E479-F479</x:f>
        <x:v>-9.100000000000001</x:v>
      </x:c>
      <x:c r="H479" s="24" t="n">
        <x:f>ABS(G479)</x:f>
        <x:v>9.100000000000001</x:v>
      </x:c>
      <x:c r="I479" s="24" t="n">
        <x:f>G479^2</x:f>
        <x:v>82.81000000000003</x:v>
      </x:c>
    </x:row>
    <x:row r="480">
      <x:c r="A480" t="str">
        <x:v>C067</x:v>
      </x:c>
      <x:c r="B480" t="str">
        <x:v>P067</x:v>
      </x:c>
      <x:c r="C480" t="str">
        <x:v>DE_ST_2021</x:v>
      </x:c>
      <x:c r="D480" t="str">
        <x:v>SPD</x:v>
      </x:c>
      <x:c r="E480" s="24" t="n">
        <x:v>11</x:v>
      </x:c>
      <x:c r="F480" s="24" t="n">
        <x:v>8.4</x:v>
      </x:c>
      <x:c r="G480" s="24" t="n">
        <x:f>E480-F480</x:f>
        <x:v>2.5999999999999996</x:v>
      </x:c>
      <x:c r="H480" s="24" t="n">
        <x:f>ABS(G480)</x:f>
        <x:v>2.5999999999999996</x:v>
      </x:c>
      <x:c r="I480" s="24" t="n">
        <x:f>G480^2</x:f>
        <x:v>6.759999999999998</x:v>
      </x:c>
    </x:row>
    <x:row r="481">
      <x:c r="A481" t="str">
        <x:v>C067</x:v>
      </x:c>
      <x:c r="B481" t="str">
        <x:v>P067</x:v>
      </x:c>
      <x:c r="C481" t="str">
        <x:v>DE_ST_2021</x:v>
      </x:c>
      <x:c r="D481" t="str">
        <x:v>GRÜNE</x:v>
      </x:c>
      <x:c r="E481" s="24" t="n">
        <x:v>9</x:v>
      </x:c>
      <x:c r="F481" s="24" t="n">
        <x:v>5.9</x:v>
      </x:c>
      <x:c r="G481" s="24" t="n">
        <x:f>E481-F481</x:f>
        <x:v>3.0999999999999996</x:v>
      </x:c>
      <x:c r="H481" s="24" t="n">
        <x:f>ABS(G481)</x:f>
        <x:v>3.0999999999999996</x:v>
      </x:c>
      <x:c r="I481" s="24" t="n">
        <x:f>G481^2</x:f>
        <x:v>9.609999999999998</x:v>
      </x:c>
    </x:row>
    <x:row r="482">
      <x:c r="A482" t="str">
        <x:v>C067</x:v>
      </x:c>
      <x:c r="B482" t="str">
        <x:v>P067</x:v>
      </x:c>
      <x:c r="C482" t="str">
        <x:v>DE_ST_2021</x:v>
      </x:c>
      <x:c r="D482" t="str">
        <x:v>FDP</x:v>
      </x:c>
      <x:c r="E482" s="24" t="n">
        <x:v>8</x:v>
      </x:c>
      <x:c r="F482" s="24" t="n">
        <x:v>6.4</x:v>
      </x:c>
      <x:c r="G482" s="24" t="n">
        <x:f>E482-F482</x:f>
        <x:v>1.5999999999999996</x:v>
      </x:c>
      <x:c r="H482" s="24" t="n">
        <x:f>ABS(G482)</x:f>
        <x:v>1.5999999999999996</x:v>
      </x:c>
      <x:c r="I482" s="24" t="n">
        <x:f>G482^2</x:f>
        <x:v>2.5599999999999987</x:v>
      </x:c>
    </x:row>
    <x:row r="483">
      <x:c r="A483" t="str">
        <x:v>C067</x:v>
      </x:c>
      <x:c r="B483" t="str">
        <x:v>P067</x:v>
      </x:c>
      <x:c r="C483" t="str">
        <x:v>DE_ST_2021</x:v>
      </x:c>
      <x:c r="D483" t="str">
        <x:v>LINKE</x:v>
      </x:c>
      <x:c r="E483" s="24" t="n">
        <x:v>10</x:v>
      </x:c>
      <x:c r="F483" s="24" t="n">
        <x:v>11</x:v>
      </x:c>
      <x:c r="G483" s="24" t="n">
        <x:f>E483-F483</x:f>
        <x:v>-1</x:v>
      </x:c>
      <x:c r="H483" s="24" t="n">
        <x:f>ABS(G483)</x:f>
        <x:v>1</x:v>
      </x:c>
      <x:c r="I483" s="24" t="n">
        <x:f>G483^2</x:f>
        <x:v>1</x:v>
      </x:c>
    </x:row>
    <x:row r="484">
      <x:c r="A484" t="str">
        <x:v>C067</x:v>
      </x:c>
      <x:c r="B484" t="str">
        <x:v>P067</x:v>
      </x:c>
      <x:c r="C484" t="str">
        <x:v>DE_ST_2021</x:v>
      </x:c>
      <x:c r="D484" t="str">
        <x:v>AfD</x:v>
      </x:c>
      <x:c r="E484" s="24" t="n">
        <x:v>24</x:v>
      </x:c>
      <x:c r="F484" s="24" t="n">
        <x:v>20.8</x:v>
      </x:c>
      <x:c r="G484" s="24" t="n">
        <x:f>E484-F484</x:f>
        <x:v>3.1999999999999993</x:v>
      </x:c>
      <x:c r="H484" s="24" t="n">
        <x:f>ABS(G484)</x:f>
        <x:v>3.1999999999999993</x:v>
      </x:c>
      <x:c r="I484" s="24" t="n">
        <x:f>G484^2</x:f>
        <x:v>10.239999999999995</x:v>
      </x:c>
    </x:row>
    <x:row r="485">
      <x:c r="A485" t="str">
        <x:v>C067</x:v>
      </x:c>
      <x:c r="B485" t="str">
        <x:v>P067</x:v>
      </x:c>
      <x:c r="C485" t="str">
        <x:v>DE_ST_2021</x:v>
      </x:c>
      <x:c r="D485" t="str">
        <x:v>Sonstige</x:v>
      </x:c>
      <x:c r="E485" s="24" t="n">
        <x:v>10</x:v>
      </x:c>
      <x:c r="F485" s="24" t="n">
        <x:v>10.4</x:v>
      </x:c>
      <x:c r="G485" s="24" t="n">
        <x:f>E485-F485</x:f>
        <x:v>-0.40000000000000036</x:v>
      </x:c>
      <x:c r="H485" s="24" t="n">
        <x:f>ABS(G485)</x:f>
        <x:v>0.40000000000000036</x:v>
      </x:c>
      <x:c r="I485" s="24" t="n">
        <x:f>G485^2</x:f>
        <x:v>0.16000000000000028</x:v>
      </x:c>
    </x:row>
    <x:row r="486">
      <x:c r="A486" t="str">
        <x:v>C068</x:v>
      </x:c>
      <x:c r="B486" t="str">
        <x:v>P068</x:v>
      </x:c>
      <x:c r="C486" t="str">
        <x:v>DE_ST_2021</x:v>
      </x:c>
      <x:c r="D486" t="str">
        <x:v>CDU</x:v>
      </x:c>
      <x:c r="E486" s="24" t="n">
        <x:v>29.2</x:v>
      </x:c>
      <x:c r="F486" s="24" t="n">
        <x:v>37.1</x:v>
      </x:c>
      <x:c r="G486" s="24" t="n">
        <x:f>E486-F486</x:f>
        <x:v>-7.900000000000002</x:v>
      </x:c>
      <x:c r="H486" s="24" t="n">
        <x:f>ABS(G486)</x:f>
        <x:v>7.900000000000002</x:v>
      </x:c>
      <x:c r="I486" s="24" t="n">
        <x:f>G486^2</x:f>
        <x:v>62.41000000000003</x:v>
      </x:c>
    </x:row>
    <x:row r="487">
      <x:c r="A487" t="str">
        <x:v>C068</x:v>
      </x:c>
      <x:c r="B487" t="str">
        <x:v>P068</x:v>
      </x:c>
      <x:c r="C487" t="str">
        <x:v>DE_ST_2021</x:v>
      </x:c>
      <x:c r="D487" t="str">
        <x:v>SPD</x:v>
      </x:c>
      <x:c r="E487" s="24" t="n">
        <x:v>9.8</x:v>
      </x:c>
      <x:c r="F487" s="24" t="n">
        <x:v>8.4</x:v>
      </x:c>
      <x:c r="G487" s="24" t="n">
        <x:f>E487-F487</x:f>
        <x:v>1.4000000000000004</x:v>
      </x:c>
      <x:c r="H487" s="24" t="n">
        <x:f>ABS(G487)</x:f>
        <x:v>1.4000000000000004</x:v>
      </x:c>
      <x:c r="I487" s="24" t="n">
        <x:f>G487^2</x:f>
        <x:v>1.960000000000001</x:v>
      </x:c>
    </x:row>
    <x:row r="488">
      <x:c r="A488" t="str">
        <x:v>C068</x:v>
      </x:c>
      <x:c r="B488" t="str">
        <x:v>P068</x:v>
      </x:c>
      <x:c r="C488" t="str">
        <x:v>DE_ST_2021</x:v>
      </x:c>
      <x:c r="D488" t="str">
        <x:v>GRÜNE</x:v>
      </x:c>
      <x:c r="E488" s="24" t="n">
        <x:v>7.7</x:v>
      </x:c>
      <x:c r="F488" s="24" t="n">
        <x:v>5.9</x:v>
      </x:c>
      <x:c r="G488" s="24" t="n">
        <x:f>E488-F488</x:f>
        <x:v>1.7999999999999998</x:v>
      </x:c>
      <x:c r="H488" s="24" t="n">
        <x:f>ABS(G488)</x:f>
        <x:v>1.7999999999999998</x:v>
      </x:c>
      <x:c r="I488" s="24" t="n">
        <x:f>G488^2</x:f>
        <x:v>3.2399999999999993</x:v>
      </x:c>
    </x:row>
    <x:row r="489">
      <x:c r="A489" t="str">
        <x:v>C068</x:v>
      </x:c>
      <x:c r="B489" t="str">
        <x:v>P068</x:v>
      </x:c>
      <x:c r="C489" t="str">
        <x:v>DE_ST_2021</x:v>
      </x:c>
      <x:c r="D489" t="str">
        <x:v>FDP</x:v>
      </x:c>
      <x:c r="E489" s="24" t="n">
        <x:v>6.3</x:v>
      </x:c>
      <x:c r="F489" s="24" t="n">
        <x:v>6.4</x:v>
      </x:c>
      <x:c r="G489" s="24" t="n">
        <x:f>E489-F489</x:f>
        <x:v>-0.10000000000000053</x:v>
      </x:c>
      <x:c r="H489" s="24" t="n">
        <x:f>ABS(G489)</x:f>
        <x:v>0.10000000000000053</x:v>
      </x:c>
      <x:c r="I489" s="24" t="n">
        <x:f>G489^2</x:f>
        <x:v>0.010000000000000106</x:v>
      </x:c>
    </x:row>
    <x:row r="490">
      <x:c r="A490" t="str">
        <x:v>C068</x:v>
      </x:c>
      <x:c r="B490" t="str">
        <x:v>P068</x:v>
      </x:c>
      <x:c r="C490" t="str">
        <x:v>DE_ST_2021</x:v>
      </x:c>
      <x:c r="D490" t="str">
        <x:v>LINKE</x:v>
      </x:c>
      <x:c r="E490" s="24" t="n">
        <x:v>10.4</x:v>
      </x:c>
      <x:c r="F490" s="24" t="n">
        <x:v>11</x:v>
      </x:c>
      <x:c r="G490" s="24" t="n">
        <x:f>E490-F490</x:f>
        <x:v>-0.5999999999999996</x:v>
      </x:c>
      <x:c r="H490" s="24" t="n">
        <x:f>ABS(G490)</x:f>
        <x:v>0.5999999999999996</x:v>
      </x:c>
      <x:c r="I490" s="24" t="n">
        <x:f>G490^2</x:f>
        <x:v>0.3599999999999996</x:v>
      </x:c>
    </x:row>
    <x:row r="491">
      <x:c r="A491" t="str">
        <x:v>C068</x:v>
      </x:c>
      <x:c r="B491" t="str">
        <x:v>P068</x:v>
      </x:c>
      <x:c r="C491" t="str">
        <x:v>DE_ST_2021</x:v>
      </x:c>
      <x:c r="D491" t="str">
        <x:v>AfD</x:v>
      </x:c>
      <x:c r="E491" s="24" t="n">
        <x:v>27.7</x:v>
      </x:c>
      <x:c r="F491" s="24" t="n">
        <x:v>20.8</x:v>
      </x:c>
      <x:c r="G491" s="24" t="n">
        <x:f>E491-F491</x:f>
        <x:v>6.899999999999999</x:v>
      </x:c>
      <x:c r="H491" s="24" t="n">
        <x:f>ABS(G491)</x:f>
        <x:v>6.899999999999999</x:v>
      </x:c>
      <x:c r="I491" s="24" t="n">
        <x:f>G491^2</x:f>
        <x:v>47.60999999999998</x:v>
      </x:c>
    </x:row>
    <x:row r="492">
      <x:c r="A492" t="str">
        <x:v>C068</x:v>
      </x:c>
      <x:c r="B492" t="str">
        <x:v>P068</x:v>
      </x:c>
      <x:c r="C492" t="str">
        <x:v>DE_ST_2021</x:v>
      </x:c>
      <x:c r="D492" t="str">
        <x:v>Sonstige</x:v>
      </x:c>
      <x:c r="E492" s="24" t="n">
        <x:v>8.9</x:v>
      </x:c>
      <x:c r="F492" s="24" t="n">
        <x:v>10.4</x:v>
      </x:c>
      <x:c r="G492" s="24" t="n">
        <x:f>E492-F492</x:f>
        <x:v>-1.5</x:v>
      </x:c>
      <x:c r="H492" s="24" t="n">
        <x:f>ABS(G492)</x:f>
        <x:v>1.5</x:v>
      </x:c>
      <x:c r="I492" s="24" t="n">
        <x:f>G492^2</x:f>
        <x:v>2.25</x:v>
      </x:c>
    </x:row>
    <x:row r="493">
      <x:c r="A493" t="str">
        <x:v>C069</x:v>
      </x:c>
      <x:c r="B493" t="str">
        <x:v>P069</x:v>
      </x:c>
      <x:c r="C493" t="str">
        <x:v>DE_ST_2021</x:v>
      </x:c>
      <x:c r="D493" t="str">
        <x:v>CDU</x:v>
      </x:c>
      <x:c r="E493" s="24" t="n">
        <x:v>27</x:v>
      </x:c>
      <x:c r="F493" s="24" t="n">
        <x:v>37.1</x:v>
      </x:c>
      <x:c r="G493" s="24" t="n">
        <x:f>E493-F493</x:f>
        <x:v>-10.100000000000001</x:v>
      </x:c>
      <x:c r="H493" s="24" t="n">
        <x:f>ABS(G493)</x:f>
        <x:v>10.100000000000001</x:v>
      </x:c>
      <x:c r="I493" s="24" t="n">
        <x:f>G493^2</x:f>
        <x:v>102.01000000000003</x:v>
      </x:c>
    </x:row>
    <x:row r="494">
      <x:c r="A494" t="str">
        <x:v>C069</x:v>
      </x:c>
      <x:c r="B494" t="str">
        <x:v>P069</x:v>
      </x:c>
      <x:c r="C494" t="str">
        <x:v>DE_ST_2021</x:v>
      </x:c>
      <x:c r="D494" t="str">
        <x:v>SPD</x:v>
      </x:c>
      <x:c r="E494" s="24" t="n">
        <x:v>10</x:v>
      </x:c>
      <x:c r="F494" s="24" t="n">
        <x:v>8.4</x:v>
      </x:c>
      <x:c r="G494" s="24" t="n">
        <x:f>E494-F494</x:f>
        <x:v>1.5999999999999996</x:v>
      </x:c>
      <x:c r="H494" s="24" t="n">
        <x:f>ABS(G494)</x:f>
        <x:v>1.5999999999999996</x:v>
      </x:c>
      <x:c r="I494" s="24" t="n">
        <x:f>G494^2</x:f>
        <x:v>2.5599999999999987</x:v>
      </x:c>
    </x:row>
    <x:row r="495">
      <x:c r="A495" t="str">
        <x:v>C069</x:v>
      </x:c>
      <x:c r="B495" t="str">
        <x:v>P069</x:v>
      </x:c>
      <x:c r="C495" t="str">
        <x:v>DE_ST_2021</x:v>
      </x:c>
      <x:c r="D495" t="str">
        <x:v>GRÜNE</x:v>
      </x:c>
      <x:c r="E495" s="24" t="n">
        <x:v>8</x:v>
      </x:c>
      <x:c r="F495" s="24" t="n">
        <x:v>5.9</x:v>
      </x:c>
      <x:c r="G495" s="24" t="n">
        <x:f>E495-F495</x:f>
        <x:v>2.0999999999999996</x:v>
      </x:c>
      <x:c r="H495" s="24" t="n">
        <x:f>ABS(G495)</x:f>
        <x:v>2.0999999999999996</x:v>
      </x:c>
      <x:c r="I495" s="24" t="n">
        <x:f>G495^2</x:f>
        <x:v>4.409999999999998</x:v>
      </x:c>
    </x:row>
    <x:row r="496">
      <x:c r="A496" t="str">
        <x:v>C069</x:v>
      </x:c>
      <x:c r="B496" t="str">
        <x:v>P069</x:v>
      </x:c>
      <x:c r="C496" t="str">
        <x:v>DE_ST_2021</x:v>
      </x:c>
      <x:c r="D496" t="str">
        <x:v>FDP</x:v>
      </x:c>
      <x:c r="E496" s="24" t="n">
        <x:v>7</x:v>
      </x:c>
      <x:c r="F496" s="24" t="n">
        <x:v>6.4</x:v>
      </x:c>
      <x:c r="G496" s="24" t="n">
        <x:f>E496-F496</x:f>
        <x:v>0.5999999999999996</x:v>
      </x:c>
      <x:c r="H496" s="24" t="n">
        <x:f>ABS(G496)</x:f>
        <x:v>0.5999999999999996</x:v>
      </x:c>
      <x:c r="I496" s="24" t="n">
        <x:f>G496^2</x:f>
        <x:v>0.3599999999999996</x:v>
      </x:c>
    </x:row>
    <x:row r="497">
      <x:c r="A497" t="str">
        <x:v>C069</x:v>
      </x:c>
      <x:c r="B497" t="str">
        <x:v>P069</x:v>
      </x:c>
      <x:c r="C497" t="str">
        <x:v>DE_ST_2021</x:v>
      </x:c>
      <x:c r="D497" t="str">
        <x:v>LINKE</x:v>
      </x:c>
      <x:c r="E497" s="24" t="n">
        <x:v>12</x:v>
      </x:c>
      <x:c r="F497" s="24" t="n">
        <x:v>11</x:v>
      </x:c>
      <x:c r="G497" s="24" t="n">
        <x:f>E497-F497</x:f>
        <x:v>1</x:v>
      </x:c>
      <x:c r="H497" s="24" t="n">
        <x:f>ABS(G497)</x:f>
        <x:v>1</x:v>
      </x:c>
      <x:c r="I497" s="24" t="n">
        <x:f>G497^2</x:f>
        <x:v>1</x:v>
      </x:c>
    </x:row>
    <x:row r="498">
      <x:c r="A498" t="str">
        <x:v>C069</x:v>
      </x:c>
      <x:c r="B498" t="str">
        <x:v>P069</x:v>
      </x:c>
      <x:c r="C498" t="str">
        <x:v>DE_ST_2021</x:v>
      </x:c>
      <x:c r="D498" t="str">
        <x:v>AfD</x:v>
      </x:c>
      <x:c r="E498" s="24" t="n">
        <x:v>26</x:v>
      </x:c>
      <x:c r="F498" s="24" t="n">
        <x:v>20.8</x:v>
      </x:c>
      <x:c r="G498" s="24" t="n">
        <x:f>E498-F498</x:f>
        <x:v>5.199999999999999</x:v>
      </x:c>
      <x:c r="H498" s="24" t="n">
        <x:f>ABS(G498)</x:f>
        <x:v>5.199999999999999</x:v>
      </x:c>
      <x:c r="I498" s="24" t="n">
        <x:f>G498^2</x:f>
        <x:v>27.039999999999992</x:v>
      </x:c>
    </x:row>
    <x:row r="499">
      <x:c r="A499" t="str">
        <x:v>C069</x:v>
      </x:c>
      <x:c r="B499" t="str">
        <x:v>P069</x:v>
      </x:c>
      <x:c r="C499" t="str">
        <x:v>DE_ST_2021</x:v>
      </x:c>
      <x:c r="D499" t="str">
        <x:v>Sonstige</x:v>
      </x:c>
      <x:c r="E499" s="24" t="n">
        <x:v>10</x:v>
      </x:c>
      <x:c r="F499" s="24" t="n">
        <x:v>10.4</x:v>
      </x:c>
      <x:c r="G499" s="24" t="n">
        <x:f>E499-F499</x:f>
        <x:v>-0.40000000000000036</x:v>
      </x:c>
      <x:c r="H499" s="24" t="n">
        <x:f>ABS(G499)</x:f>
        <x:v>0.40000000000000036</x:v>
      </x:c>
      <x:c r="I499" s="24" t="n">
        <x:f>G499^2</x:f>
        <x:v>0.16000000000000028</x:v>
      </x:c>
    </x:row>
    <x:row r="500">
      <x:c r="A500" t="str">
        <x:v>C070</x:v>
      </x:c>
      <x:c r="B500" t="str">
        <x:v>P070</x:v>
      </x:c>
      <x:c r="C500" t="str">
        <x:v>DE_BW_2021</x:v>
      </x:c>
      <x:c r="D500" t="str">
        <x:v>CDU</x:v>
      </x:c>
      <x:c r="E500" s="24" t="n">
        <x:v>24</x:v>
      </x:c>
      <x:c r="F500" s="24" t="n">
        <x:v>24.1</x:v>
      </x:c>
      <x:c r="G500" s="24" t="n">
        <x:f>E500-F500</x:f>
        <x:v>-0.10000000000000142</x:v>
      </x:c>
      <x:c r="H500" s="24" t="n">
        <x:f>ABS(G500)</x:f>
        <x:v>0.10000000000000142</x:v>
      </x:c>
      <x:c r="I500" s="24" t="n">
        <x:f>G500^2</x:f>
        <x:v>0.010000000000000285</x:v>
      </x:c>
    </x:row>
    <x:row r="501">
      <x:c r="A501" t="str">
        <x:v>C070</x:v>
      </x:c>
      <x:c r="B501" t="str">
        <x:v>P070</x:v>
      </x:c>
      <x:c r="C501" t="str">
        <x:v>DE_BW_2021</x:v>
      </x:c>
      <x:c r="D501" t="str">
        <x:v>SPD</x:v>
      </x:c>
      <x:c r="E501" s="24" t="n">
        <x:v>10</x:v>
      </x:c>
      <x:c r="F501" s="24" t="n">
        <x:v>11</x:v>
      </x:c>
      <x:c r="G501" s="24" t="n">
        <x:f>E501-F501</x:f>
        <x:v>-1</x:v>
      </x:c>
      <x:c r="H501" s="24" t="n">
        <x:f>ABS(G501)</x:f>
        <x:v>1</x:v>
      </x:c>
      <x:c r="I501" s="24" t="n">
        <x:f>G501^2</x:f>
        <x:v>1</x:v>
      </x:c>
    </x:row>
    <x:row r="502">
      <x:c r="A502" t="str">
        <x:v>C070</x:v>
      </x:c>
      <x:c r="B502" t="str">
        <x:v>P070</x:v>
      </x:c>
      <x:c r="C502" t="str">
        <x:v>DE_BW_2021</x:v>
      </x:c>
      <x:c r="D502" t="str">
        <x:v>GRÜNE</x:v>
      </x:c>
      <x:c r="E502" s="24" t="n">
        <x:v>34</x:v>
      </x:c>
      <x:c r="F502" s="24" t="n">
        <x:v>32.6</x:v>
      </x:c>
      <x:c r="G502" s="24" t="n">
        <x:f>E502-F502</x:f>
        <x:v>1.3999999999999986</x:v>
      </x:c>
      <x:c r="H502" s="24" t="n">
        <x:f>ABS(G502)</x:f>
        <x:v>1.3999999999999986</x:v>
      </x:c>
      <x:c r="I502" s="24" t="n">
        <x:f>G502^2</x:f>
        <x:v>1.959999999999996</x:v>
      </x:c>
    </x:row>
    <x:row r="503">
      <x:c r="A503" t="str">
        <x:v>C070</x:v>
      </x:c>
      <x:c r="B503" t="str">
        <x:v>P070</x:v>
      </x:c>
      <x:c r="C503" t="str">
        <x:v>DE_BW_2021</x:v>
      </x:c>
      <x:c r="D503" t="str">
        <x:v>FDP</x:v>
      </x:c>
      <x:c r="E503" s="24" t="n">
        <x:v>11</x:v>
      </x:c>
      <x:c r="F503" s="24" t="n">
        <x:v>10.5</x:v>
      </x:c>
      <x:c r="G503" s="24" t="n">
        <x:f>E503-F503</x:f>
        <x:v>0.5</x:v>
      </x:c>
      <x:c r="H503" s="24" t="n">
        <x:f>ABS(G503)</x:f>
        <x:v>0.5</x:v>
      </x:c>
      <x:c r="I503" s="24" t="n">
        <x:f>G503^2</x:f>
        <x:v>0.25</x:v>
      </x:c>
    </x:row>
    <x:row r="504">
      <x:c r="A504" t="str">
        <x:v>C070</x:v>
      </x:c>
      <x:c r="B504" t="str">
        <x:v>P070</x:v>
      </x:c>
      <x:c r="C504" t="str">
        <x:v>DE_BW_2021</x:v>
      </x:c>
      <x:c r="D504" t="str">
        <x:v>LINKE</x:v>
      </x:c>
      <x:c r="E504" s="24" t="n">
        <x:v>3</x:v>
      </x:c>
      <x:c r="F504" s="24" t="n">
        <x:v>3.6</x:v>
      </x:c>
      <x:c r="G504" s="24" t="n">
        <x:f>E504-F504</x:f>
        <x:v>-0.6000000000000001</x:v>
      </x:c>
      <x:c r="H504" s="24" t="n">
        <x:f>ABS(G504)</x:f>
        <x:v>0.6000000000000001</x:v>
      </x:c>
      <x:c r="I504" s="24" t="n">
        <x:f>G504^2</x:f>
        <x:v>0.3600000000000001</x:v>
      </x:c>
    </x:row>
    <x:row r="505">
      <x:c r="A505" t="str">
        <x:v>C070</x:v>
      </x:c>
      <x:c r="B505" t="str">
        <x:v>P070</x:v>
      </x:c>
      <x:c r="C505" t="str">
        <x:v>DE_BW_2021</x:v>
      </x:c>
      <x:c r="D505" t="str">
        <x:v>AfD</x:v>
      </x:c>
      <x:c r="E505" s="24" t="n">
        <x:v>11</x:v>
      </x:c>
      <x:c r="F505" s="24" t="n">
        <x:v>9.7</x:v>
      </x:c>
      <x:c r="G505" s="24" t="n">
        <x:f>E505-F505</x:f>
        <x:v>1.3000000000000007</x:v>
      </x:c>
      <x:c r="H505" s="24" t="n">
        <x:f>ABS(G505)</x:f>
        <x:v>1.3000000000000007</x:v>
      </x:c>
      <x:c r="I505" s="24" t="n">
        <x:f>G505^2</x:f>
        <x:v>1.690000000000002</x:v>
      </x:c>
    </x:row>
    <x:row r="506">
      <x:c r="A506" t="str">
        <x:v>C070</x:v>
      </x:c>
      <x:c r="B506" t="str">
        <x:v>P070</x:v>
      </x:c>
      <x:c r="C506" t="str">
        <x:v>DE_BW_2021</x:v>
      </x:c>
      <x:c r="D506" t="str">
        <x:v>Sonstige</x:v>
      </x:c>
      <x:c r="E506" s="24" t="n">
        <x:v>7</x:v>
      </x:c>
      <x:c r="F506" s="24" t="n">
        <x:v>8.5</x:v>
      </x:c>
      <x:c r="G506" s="24" t="n">
        <x:f>E506-F506</x:f>
        <x:v>-1.5</x:v>
      </x:c>
      <x:c r="H506" s="24" t="n">
        <x:f>ABS(G506)</x:f>
        <x:v>1.5</x:v>
      </x:c>
      <x:c r="I506" s="24" t="n">
        <x:f>G506^2</x:f>
        <x:v>2.25</x:v>
      </x:c>
    </x:row>
    <x:row r="507">
      <x:c r="A507" t="str">
        <x:v>C071</x:v>
      </x:c>
      <x:c r="B507" t="str">
        <x:v>P071</x:v>
      </x:c>
      <x:c r="C507" t="str">
        <x:v>DE_BW_2021</x:v>
      </x:c>
      <x:c r="D507" t="str">
        <x:v>CDU</x:v>
      </x:c>
      <x:c r="E507" s="24" t="n">
        <x:v>25</x:v>
      </x:c>
      <x:c r="F507" s="24" t="n">
        <x:v>24.1</x:v>
      </x:c>
      <x:c r="G507" s="24" t="n">
        <x:f>E507-F507</x:f>
        <x:v>0.8999999999999986</x:v>
      </x:c>
      <x:c r="H507" s="24" t="n">
        <x:f>ABS(G507)</x:f>
        <x:v>0.8999999999999986</x:v>
      </x:c>
      <x:c r="I507" s="24" t="n">
        <x:f>G507^2</x:f>
        <x:v>0.8099999999999974</x:v>
      </x:c>
    </x:row>
    <x:row r="508">
      <x:c r="A508" t="str">
        <x:v>C071</x:v>
      </x:c>
      <x:c r="B508" t="str">
        <x:v>P071</x:v>
      </x:c>
      <x:c r="C508" t="str">
        <x:v>DE_BW_2021</x:v>
      </x:c>
      <x:c r="D508" t="str">
        <x:v>SPD</x:v>
      </x:c>
      <x:c r="E508" s="24" t="n">
        <x:v>10</x:v>
      </x:c>
      <x:c r="F508" s="24" t="n">
        <x:v>11</x:v>
      </x:c>
      <x:c r="G508" s="24" t="n">
        <x:f>E508-F508</x:f>
        <x:v>-1</x:v>
      </x:c>
      <x:c r="H508" s="24" t="n">
        <x:f>ABS(G508)</x:f>
        <x:v>1</x:v>
      </x:c>
      <x:c r="I508" s="24" t="n">
        <x:f>G508^2</x:f>
        <x:v>1</x:v>
      </x:c>
    </x:row>
    <x:row r="509">
      <x:c r="A509" t="str">
        <x:v>C071</x:v>
      </x:c>
      <x:c r="B509" t="str">
        <x:v>P071</x:v>
      </x:c>
      <x:c r="C509" t="str">
        <x:v>DE_BW_2021</x:v>
      </x:c>
      <x:c r="D509" t="str">
        <x:v>GRÜNE</x:v>
      </x:c>
      <x:c r="E509" s="24" t="n">
        <x:v>33</x:v>
      </x:c>
      <x:c r="F509" s="24" t="n">
        <x:v>32.6</x:v>
      </x:c>
      <x:c r="G509" s="24" t="n">
        <x:f>E509-F509</x:f>
        <x:v>0.3999999999999986</x:v>
      </x:c>
      <x:c r="H509" s="24" t="n">
        <x:f>ABS(G509)</x:f>
        <x:v>0.3999999999999986</x:v>
      </x:c>
      <x:c r="I509" s="24" t="n">
        <x:f>G509^2</x:f>
        <x:v>0.15999999999999887</x:v>
      </x:c>
    </x:row>
    <x:row r="510">
      <x:c r="A510" t="str">
        <x:v>C071</x:v>
      </x:c>
      <x:c r="B510" t="str">
        <x:v>P071</x:v>
      </x:c>
      <x:c r="C510" t="str">
        <x:v>DE_BW_2021</x:v>
      </x:c>
      <x:c r="D510" t="str">
        <x:v>FDP</x:v>
      </x:c>
      <x:c r="E510" s="24" t="n">
        <x:v>10</x:v>
      </x:c>
      <x:c r="F510" s="24" t="n">
        <x:v>10.5</x:v>
      </x:c>
      <x:c r="G510" s="24" t="n">
        <x:f>E510-F510</x:f>
        <x:v>-0.5</x:v>
      </x:c>
      <x:c r="H510" s="24" t="n">
        <x:f>ABS(G510)</x:f>
        <x:v>0.5</x:v>
      </x:c>
      <x:c r="I510" s="24" t="n">
        <x:f>G510^2</x:f>
        <x:v>0.25</x:v>
      </x:c>
    </x:row>
    <x:row r="511">
      <x:c r="A511" t="str">
        <x:v>C071</x:v>
      </x:c>
      <x:c r="B511" t="str">
        <x:v>P071</x:v>
      </x:c>
      <x:c r="C511" t="str">
        <x:v>DE_BW_2021</x:v>
      </x:c>
      <x:c r="D511" t="str">
        <x:v>LINKE</x:v>
      </x:c>
      <x:c r="E511" s="24" t="n">
        <x:v>4</x:v>
      </x:c>
      <x:c r="F511" s="24" t="n">
        <x:v>3.6</x:v>
      </x:c>
      <x:c r="G511" s="24" t="n">
        <x:f>E511-F511</x:f>
        <x:v>0.3999999999999999</x:v>
      </x:c>
      <x:c r="H511" s="24" t="n">
        <x:f>ABS(G511)</x:f>
        <x:v>0.3999999999999999</x:v>
      </x:c>
      <x:c r="I511" s="24" t="n">
        <x:f>G511^2</x:f>
        <x:v>0.15999999999999992</x:v>
      </x:c>
    </x:row>
    <x:row r="512">
      <x:c r="A512" t="str">
        <x:v>C071</x:v>
      </x:c>
      <x:c r="B512" t="str">
        <x:v>P071</x:v>
      </x:c>
      <x:c r="C512" t="str">
        <x:v>DE_BW_2021</x:v>
      </x:c>
      <x:c r="D512" t="str">
        <x:v>AfD</x:v>
      </x:c>
      <x:c r="E512" s="24" t="n">
        <x:v>12</x:v>
      </x:c>
      <x:c r="F512" s="24" t="n">
        <x:v>9.7</x:v>
      </x:c>
      <x:c r="G512" s="24" t="n">
        <x:f>E512-F512</x:f>
        <x:v>2.3000000000000007</x:v>
      </x:c>
      <x:c r="H512" s="24" t="n">
        <x:f>ABS(G512)</x:f>
        <x:v>2.3000000000000007</x:v>
      </x:c>
      <x:c r="I512" s="24" t="n">
        <x:f>G512^2</x:f>
        <x:v>5.290000000000004</x:v>
      </x:c>
    </x:row>
    <x:row r="513">
      <x:c r="A513" t="str">
        <x:v>C071</x:v>
      </x:c>
      <x:c r="B513" t="str">
        <x:v>P071</x:v>
      </x:c>
      <x:c r="C513" t="str">
        <x:v>DE_BW_2021</x:v>
      </x:c>
      <x:c r="D513" t="str">
        <x:v>Sonstige</x:v>
      </x:c>
      <x:c r="E513" s="24" t="n">
        <x:v>6</x:v>
      </x:c>
      <x:c r="F513" s="24" t="n">
        <x:v>8.5</x:v>
      </x:c>
      <x:c r="G513" s="24" t="n">
        <x:f>E513-F513</x:f>
        <x:v>-2.5</x:v>
      </x:c>
      <x:c r="H513" s="24" t="n">
        <x:f>ABS(G513)</x:f>
        <x:v>2.5</x:v>
      </x:c>
      <x:c r="I513" s="24" t="n">
        <x:f>G513^2</x:f>
        <x:v>6.25</x:v>
      </x:c>
    </x:row>
    <x:row r="514">
      <x:c r="A514" t="str">
        <x:v>C072</x:v>
      </x:c>
      <x:c r="B514" t="str">
        <x:v>P072</x:v>
      </x:c>
      <x:c r="C514" t="str">
        <x:v>DE_BW_2021</x:v>
      </x:c>
      <x:c r="D514" t="str">
        <x:v>CDU</x:v>
      </x:c>
      <x:c r="E514" s="24" t="n">
        <x:v>23.8</x:v>
      </x:c>
      <x:c r="F514" s="24" t="n">
        <x:v>24.1</x:v>
      </x:c>
      <x:c r="G514" s="24" t="n">
        <x:f>E514-F514</x:f>
        <x:v>-0.3000000000000007</x:v>
      </x:c>
      <x:c r="H514" s="24" t="n">
        <x:f>ABS(G514)</x:f>
        <x:v>0.3000000000000007</x:v>
      </x:c>
      <x:c r="I514" s="24" t="n">
        <x:f>G514^2</x:f>
        <x:v>0.09000000000000043</x:v>
      </x:c>
    </x:row>
    <x:row r="515">
      <x:c r="A515" t="str">
        <x:v>C072</x:v>
      </x:c>
      <x:c r="B515" t="str">
        <x:v>P072</x:v>
      </x:c>
      <x:c r="C515" t="str">
        <x:v>DE_BW_2021</x:v>
      </x:c>
      <x:c r="D515" t="str">
        <x:v>SPD</x:v>
      </x:c>
      <x:c r="E515" s="24" t="n">
        <x:v>12.8</x:v>
      </x:c>
      <x:c r="F515" s="24" t="n">
        <x:v>11</x:v>
      </x:c>
      <x:c r="G515" s="24" t="n">
        <x:f>E515-F515</x:f>
        <x:v>1.8000000000000007</x:v>
      </x:c>
      <x:c r="H515" s="24" t="n">
        <x:f>ABS(G515)</x:f>
        <x:v>1.8000000000000007</x:v>
      </x:c>
      <x:c r="I515" s="24" t="n">
        <x:f>G515^2</x:f>
        <x:v>3.2400000000000024</x:v>
      </x:c>
    </x:row>
    <x:row r="516">
      <x:c r="A516" t="str">
        <x:v>C072</x:v>
      </x:c>
      <x:c r="B516" t="str">
        <x:v>P072</x:v>
      </x:c>
      <x:c r="C516" t="str">
        <x:v>DE_BW_2021</x:v>
      </x:c>
      <x:c r="D516" t="str">
        <x:v>GRÜNE</x:v>
      </x:c>
      <x:c r="E516" s="24" t="n">
        <x:v>31.6</x:v>
      </x:c>
      <x:c r="F516" s="24" t="n">
        <x:v>32.6</x:v>
      </x:c>
      <x:c r="G516" s="24" t="n">
        <x:f>E516-F516</x:f>
        <x:v>-1</x:v>
      </x:c>
      <x:c r="H516" s="24" t="n">
        <x:f>ABS(G516)</x:f>
        <x:v>1</x:v>
      </x:c>
      <x:c r="I516" s="24" t="n">
        <x:f>G516^2</x:f>
        <x:v>1</x:v>
      </x:c>
    </x:row>
    <x:row r="517">
      <x:c r="A517" t="str">
        <x:v>C072</x:v>
      </x:c>
      <x:c r="B517" t="str">
        <x:v>P072</x:v>
      </x:c>
      <x:c r="C517" t="str">
        <x:v>DE_BW_2021</x:v>
      </x:c>
      <x:c r="D517" t="str">
        <x:v>FDP</x:v>
      </x:c>
      <x:c r="E517" s="24" t="n">
        <x:v>9.6</x:v>
      </x:c>
      <x:c r="F517" s="24" t="n">
        <x:v>10.5</x:v>
      </x:c>
      <x:c r="G517" s="24" t="n">
        <x:f>E517-F517</x:f>
        <x:v>-0.9000000000000004</x:v>
      </x:c>
      <x:c r="H517" s="24" t="n">
        <x:f>ABS(G517)</x:f>
        <x:v>0.9000000000000004</x:v>
      </x:c>
      <x:c r="I517" s="24" t="n">
        <x:f>G517^2</x:f>
        <x:v>0.8100000000000006</x:v>
      </x:c>
    </x:row>
    <x:row r="518">
      <x:c r="A518" t="str">
        <x:v>C072</x:v>
      </x:c>
      <x:c r="B518" t="str">
        <x:v>P072</x:v>
      </x:c>
      <x:c r="C518" t="str">
        <x:v>DE_BW_2021</x:v>
      </x:c>
      <x:c r="D518" t="str">
        <x:v>LINKE</x:v>
      </x:c>
      <x:c r="E518" s="24" t="n">
        <x:v>3.7</x:v>
      </x:c>
      <x:c r="F518" s="24" t="n">
        <x:v>3.6</x:v>
      </x:c>
      <x:c r="G518" s="24" t="n">
        <x:f>E518-F518</x:f>
        <x:v>0.10000000000000009</x:v>
      </x:c>
      <x:c r="H518" s="24" t="n">
        <x:f>ABS(G518)</x:f>
        <x:v>0.10000000000000009</x:v>
      </x:c>
      <x:c r="I518" s="24" t="n">
        <x:f>G518^2</x:f>
        <x:v>0.010000000000000018</x:v>
      </x:c>
    </x:row>
    <x:row r="519">
      <x:c r="A519" t="str">
        <x:v>C072</x:v>
      </x:c>
      <x:c r="B519" t="str">
        <x:v>P072</x:v>
      </x:c>
      <x:c r="C519" t="str">
        <x:v>DE_BW_2021</x:v>
      </x:c>
      <x:c r="D519" t="str">
        <x:v>AfD</x:v>
      </x:c>
      <x:c r="E519" s="24" t="n">
        <x:v>12.4</x:v>
      </x:c>
      <x:c r="F519" s="24" t="n">
        <x:v>9.7</x:v>
      </x:c>
      <x:c r="G519" s="24" t="n">
        <x:f>E519-F519</x:f>
        <x:v>2.700000000000001</x:v>
      </x:c>
      <x:c r="H519" s="24" t="n">
        <x:f>ABS(G519)</x:f>
        <x:v>2.700000000000001</x:v>
      </x:c>
      <x:c r="I519" s="24" t="n">
        <x:f>G519^2</x:f>
        <x:v>7.290000000000005</x:v>
      </x:c>
    </x:row>
    <x:row r="520">
      <x:c r="A520" t="str">
        <x:v>C072</x:v>
      </x:c>
      <x:c r="B520" t="str">
        <x:v>P072</x:v>
      </x:c>
      <x:c r="C520" t="str">
        <x:v>DE_BW_2021</x:v>
      </x:c>
      <x:c r="D520" t="str">
        <x:v>Sonstige</x:v>
      </x:c>
      <x:c r="E520" s="24" t="n">
        <x:v>6.1</x:v>
      </x:c>
      <x:c r="F520" s="24" t="n">
        <x:v>8.5</x:v>
      </x:c>
      <x:c r="G520" s="24" t="n">
        <x:f>E520-F520</x:f>
        <x:v>-2.4000000000000004</x:v>
      </x:c>
      <x:c r="H520" s="24" t="n">
        <x:f>ABS(G520)</x:f>
        <x:v>2.4000000000000004</x:v>
      </x:c>
      <x:c r="I520" s="24" t="n">
        <x:f>G520^2</x:f>
        <x:v>5.760000000000002</x:v>
      </x:c>
    </x:row>
    <x:row r="521">
      <x:c r="A521" t="str">
        <x:v>C073</x:v>
      </x:c>
      <x:c r="B521" t="str">
        <x:v>P073</x:v>
      </x:c>
      <x:c r="C521" t="str">
        <x:v>DE_BW_2021</x:v>
      </x:c>
      <x:c r="D521" t="str">
        <x:v>CDU</x:v>
      </x:c>
      <x:c r="E521" s="24" t="n">
        <x:v>23</x:v>
      </x:c>
      <x:c r="F521" s="24" t="n">
        <x:v>24.1</x:v>
      </x:c>
      <x:c r="G521" s="24" t="n">
        <x:f>E521-F521</x:f>
        <x:v>-1.1000000000000014</x:v>
      </x:c>
      <x:c r="H521" s="24" t="n">
        <x:f>ABS(G521)</x:f>
        <x:v>1.1000000000000014</x:v>
      </x:c>
      <x:c r="I521" s="24" t="n">
        <x:f>G521^2</x:f>
        <x:v>1.210000000000003</x:v>
      </x:c>
    </x:row>
    <x:row r="522">
      <x:c r="A522" t="str">
        <x:v>C073</x:v>
      </x:c>
      <x:c r="B522" t="str">
        <x:v>P073</x:v>
      </x:c>
      <x:c r="C522" t="str">
        <x:v>DE_BW_2021</x:v>
      </x:c>
      <x:c r="D522" t="str">
        <x:v>SPD</x:v>
      </x:c>
      <x:c r="E522" s="24" t="n">
        <x:v>11</x:v>
      </x:c>
      <x:c r="F522" s="24" t="n">
        <x:v>11</x:v>
      </x:c>
      <x:c r="G522" s="24" t="n">
        <x:f>E522-F522</x:f>
        <x:v>0</x:v>
      </x:c>
      <x:c r="H522" s="24" t="n">
        <x:f>ABS(G522)</x:f>
        <x:v>0</x:v>
      </x:c>
      <x:c r="I522" s="24" t="n">
        <x:f>G522^2</x:f>
        <x:v>0</x:v>
      </x:c>
    </x:row>
    <x:row r="523">
      <x:c r="A523" t="str">
        <x:v>C073</x:v>
      </x:c>
      <x:c r="B523" t="str">
        <x:v>P073</x:v>
      </x:c>
      <x:c r="C523" t="str">
        <x:v>DE_BW_2021</x:v>
      </x:c>
      <x:c r="D523" t="str">
        <x:v>GRÜNE</x:v>
      </x:c>
      <x:c r="E523" s="24" t="n">
        <x:v>32</x:v>
      </x:c>
      <x:c r="F523" s="24" t="n">
        <x:v>32.6</x:v>
      </x:c>
      <x:c r="G523" s="24" t="n">
        <x:f>E523-F523</x:f>
        <x:v>-0.6000000000000014</x:v>
      </x:c>
      <x:c r="H523" s="24" t="n">
        <x:f>ABS(G523)</x:f>
        <x:v>0.6000000000000014</x:v>
      </x:c>
      <x:c r="I523" s="24" t="n">
        <x:f>G523^2</x:f>
        <x:v>0.3600000000000017</x:v>
      </x:c>
    </x:row>
    <x:row r="524">
      <x:c r="A524" t="str">
        <x:v>C073</x:v>
      </x:c>
      <x:c r="B524" t="str">
        <x:v>P073</x:v>
      </x:c>
      <x:c r="C524" t="str">
        <x:v>DE_BW_2021</x:v>
      </x:c>
      <x:c r="D524" t="str">
        <x:v>FDP</x:v>
      </x:c>
      <x:c r="E524" s="24" t="n">
        <x:v>11</x:v>
      </x:c>
      <x:c r="F524" s="24" t="n">
        <x:v>10.5</x:v>
      </x:c>
      <x:c r="G524" s="24" t="n">
        <x:f>E524-F524</x:f>
        <x:v>0.5</x:v>
      </x:c>
      <x:c r="H524" s="24" t="n">
        <x:f>ABS(G524)</x:f>
        <x:v>0.5</x:v>
      </x:c>
      <x:c r="I524" s="24" t="n">
        <x:f>G524^2</x:f>
        <x:v>0.25</x:v>
      </x:c>
    </x:row>
    <x:row r="525">
      <x:c r="A525" t="str">
        <x:v>C073</x:v>
      </x:c>
      <x:c r="B525" t="str">
        <x:v>P073</x:v>
      </x:c>
      <x:c r="C525" t="str">
        <x:v>DE_BW_2021</x:v>
      </x:c>
      <x:c r="D525" t="str">
        <x:v>LINKE</x:v>
      </x:c>
      <x:c r="E525" s="24" t="n">
        <x:v>4</x:v>
      </x:c>
      <x:c r="F525" s="24" t="n">
        <x:v>3.6</x:v>
      </x:c>
      <x:c r="G525" s="24" t="n">
        <x:f>E525-F525</x:f>
        <x:v>0.3999999999999999</x:v>
      </x:c>
      <x:c r="H525" s="24" t="n">
        <x:f>ABS(G525)</x:f>
        <x:v>0.3999999999999999</x:v>
      </x:c>
      <x:c r="I525" s="24" t="n">
        <x:f>G525^2</x:f>
        <x:v>0.15999999999999992</x:v>
      </x:c>
    </x:row>
    <x:row r="526">
      <x:c r="A526" t="str">
        <x:v>C073</x:v>
      </x:c>
      <x:c r="B526" t="str">
        <x:v>P073</x:v>
      </x:c>
      <x:c r="C526" t="str">
        <x:v>DE_BW_2021</x:v>
      </x:c>
      <x:c r="D526" t="str">
        <x:v>AfD</x:v>
      </x:c>
      <x:c r="E526" s="24" t="n">
        <x:v>13</x:v>
      </x:c>
      <x:c r="F526" s="24" t="n">
        <x:v>9.7</x:v>
      </x:c>
      <x:c r="G526" s="24" t="n">
        <x:f>E526-F526</x:f>
        <x:v>3.3000000000000007</x:v>
      </x:c>
      <x:c r="H526" s="24" t="n">
        <x:f>ABS(G526)</x:f>
        <x:v>3.3000000000000007</x:v>
      </x:c>
      <x:c r="I526" s="24" t="n">
        <x:f>G526^2</x:f>
        <x:v>10.890000000000004</x:v>
      </x:c>
    </x:row>
    <x:row r="527">
      <x:c r="A527" t="str">
        <x:v>C073</x:v>
      </x:c>
      <x:c r="B527" t="str">
        <x:v>P073</x:v>
      </x:c>
      <x:c r="C527" t="str">
        <x:v>DE_BW_2021</x:v>
      </x:c>
      <x:c r="D527" t="str">
        <x:v>Sonstige</x:v>
      </x:c>
      <x:c r="E527" s="24" t="n">
        <x:v>6</x:v>
      </x:c>
      <x:c r="F527" s="24" t="n">
        <x:v>8.5</x:v>
      </x:c>
      <x:c r="G527" s="24" t="n">
        <x:f>E527-F527</x:f>
        <x:v>-2.5</x:v>
      </x:c>
      <x:c r="H527" s="24" t="n">
        <x:f>ABS(G527)</x:f>
        <x:v>2.5</x:v>
      </x:c>
      <x:c r="I527" s="24" t="n">
        <x:f>G527^2</x:f>
        <x:v>6.25</x:v>
      </x:c>
    </x:row>
    <x:row r="528">
      <x:c r="A528" t="str">
        <x:v>C074</x:v>
      </x:c>
      <x:c r="B528" t="str">
        <x:v>P074</x:v>
      </x:c>
      <x:c r="C528" t="str">
        <x:v>DE_RP_2021</x:v>
      </x:c>
      <x:c r="D528" t="str">
        <x:v>CDU</x:v>
      </x:c>
      <x:c r="E528" s="24" t="n">
        <x:v>29</x:v>
      </x:c>
      <x:c r="F528" s="24" t="n">
        <x:v>27.9</x:v>
      </x:c>
      <x:c r="G528" s="24" t="n">
        <x:f>E528-F528</x:f>
        <x:v>1.1000000000000014</x:v>
      </x:c>
      <x:c r="H528" s="24" t="n">
        <x:f>ABS(G528)</x:f>
        <x:v>1.1000000000000014</x:v>
      </x:c>
      <x:c r="I528" s="24" t="n">
        <x:f>G528^2</x:f>
        <x:v>1.210000000000003</x:v>
      </x:c>
    </x:row>
    <x:row r="529">
      <x:c r="A529" t="str">
        <x:v>C074</x:v>
      </x:c>
      <x:c r="B529" t="str">
        <x:v>P074</x:v>
      </x:c>
      <x:c r="C529" t="str">
        <x:v>DE_RP_2021</x:v>
      </x:c>
      <x:c r="D529" t="str">
        <x:v>SPD</x:v>
      </x:c>
      <x:c r="E529" s="24" t="n">
        <x:v>33</x:v>
      </x:c>
      <x:c r="F529" s="24" t="n">
        <x:v>35.7</x:v>
      </x:c>
      <x:c r="G529" s="24" t="n">
        <x:f>E529-F529</x:f>
        <x:v>-2.700000000000003</x:v>
      </x:c>
      <x:c r="H529" s="24" t="n">
        <x:f>ABS(G529)</x:f>
        <x:v>2.700000000000003</x:v>
      </x:c>
      <x:c r="I529" s="24" t="n">
        <x:f>G529^2</x:f>
        <x:v>7.290000000000015</x:v>
      </x:c>
    </x:row>
    <x:row r="530">
      <x:c r="A530" t="str">
        <x:v>C074</x:v>
      </x:c>
      <x:c r="B530" t="str">
        <x:v>P074</x:v>
      </x:c>
      <x:c r="C530" t="str">
        <x:v>DE_RP_2021</x:v>
      </x:c>
      <x:c r="D530" t="str">
        <x:v>GRÜNE</x:v>
      </x:c>
      <x:c r="E530" s="24" t="n">
        <x:v>10</x:v>
      </x:c>
      <x:c r="F530" s="24" t="n">
        <x:v>9.3</x:v>
      </x:c>
      <x:c r="G530" s="24" t="n">
        <x:f>E530-F530</x:f>
        <x:v>0.6999999999999993</x:v>
      </x:c>
      <x:c r="H530" s="24" t="n">
        <x:f>ABS(G530)</x:f>
        <x:v>0.6999999999999993</x:v>
      </x:c>
      <x:c r="I530" s="24" t="n">
        <x:f>G530^2</x:f>
        <x:v>0.489999999999999</x:v>
      </x:c>
    </x:row>
    <x:row r="531">
      <x:c r="A531" t="str">
        <x:v>C074</x:v>
      </x:c>
      <x:c r="B531" t="str">
        <x:v>P074</x:v>
      </x:c>
      <x:c r="C531" t="str">
        <x:v>DE_RP_2021</x:v>
      </x:c>
      <x:c r="D531" t="str">
        <x:v>FDP</x:v>
      </x:c>
      <x:c r="E531" s="24" t="n">
        <x:v>6.5</x:v>
      </x:c>
      <x:c r="F531" s="24" t="n">
        <x:v>5.5</x:v>
      </x:c>
      <x:c r="G531" s="24" t="n">
        <x:f>E531-F531</x:f>
        <x:v>1</x:v>
      </x:c>
      <x:c r="H531" s="24" t="n">
        <x:f>ABS(G531)</x:f>
        <x:v>1</x:v>
      </x:c>
      <x:c r="I531" s="24" t="n">
        <x:f>G531^2</x:f>
        <x:v>1</x:v>
      </x:c>
    </x:row>
    <x:row r="532">
      <x:c r="A532" t="str">
        <x:v>C074</x:v>
      </x:c>
      <x:c r="B532" t="str">
        <x:v>P074</x:v>
      </x:c>
      <x:c r="C532" t="str">
        <x:v>DE_RP_2021</x:v>
      </x:c>
      <x:c r="D532" t="str">
        <x:v>LINKE</x:v>
      </x:c>
      <x:c r="E532" s="24" t="n">
        <x:v>3</x:v>
      </x:c>
      <x:c r="F532" s="24" t="n">
        <x:v>2.5</x:v>
      </x:c>
      <x:c r="G532" s="24" t="n">
        <x:f>E532-F532</x:f>
        <x:v>0.5</x:v>
      </x:c>
      <x:c r="H532" s="24" t="n">
        <x:f>ABS(G532)</x:f>
        <x:v>0.5</x:v>
      </x:c>
      <x:c r="I532" s="24" t="n">
        <x:f>G532^2</x:f>
        <x:v>0.25</x:v>
      </x:c>
    </x:row>
    <x:row r="533">
      <x:c r="A533" t="str">
        <x:v>C074</x:v>
      </x:c>
      <x:c r="B533" t="str">
        <x:v>P074</x:v>
      </x:c>
      <x:c r="C533" t="str">
        <x:v>DE_RP_2021</x:v>
      </x:c>
      <x:c r="D533" t="str">
        <x:v>AfD</x:v>
      </x:c>
      <x:c r="E533" s="24" t="n">
        <x:v>9</x:v>
      </x:c>
      <x:c r="F533" s="24" t="n">
        <x:v>8.3</x:v>
      </x:c>
      <x:c r="G533" s="24" t="n">
        <x:f>E533-F533</x:f>
        <x:v>0.6999999999999993</x:v>
      </x:c>
      <x:c r="H533" s="24" t="n">
        <x:f>ABS(G533)</x:f>
        <x:v>0.6999999999999993</x:v>
      </x:c>
      <x:c r="I533" s="24" t="n">
        <x:f>G533^2</x:f>
        <x:v>0.489999999999999</x:v>
      </x:c>
    </x:row>
    <x:row r="534">
      <x:c r="A534" t="str">
        <x:v>C074</x:v>
      </x:c>
      <x:c r="B534" t="str">
        <x:v>P074</x:v>
      </x:c>
      <x:c r="C534" t="str">
        <x:v>DE_RP_2021</x:v>
      </x:c>
      <x:c r="D534" t="str">
        <x:v>Sonstige</x:v>
      </x:c>
      <x:c r="E534" s="24" t="n">
        <x:v>9.5</x:v>
      </x:c>
      <x:c r="F534" s="24" t="n">
        <x:v>11</x:v>
      </x:c>
      <x:c r="G534" s="24" t="n">
        <x:f>E534-F534</x:f>
        <x:v>-1.5</x:v>
      </x:c>
      <x:c r="H534" s="24" t="n">
        <x:f>ABS(G534)</x:f>
        <x:v>1.5</x:v>
      </x:c>
      <x:c r="I534" s="24" t="n">
        <x:f>G534^2</x:f>
        <x:v>2.25</x:v>
      </x:c>
    </x:row>
    <x:row r="535">
      <x:c r="A535" t="str">
        <x:v>C075</x:v>
      </x:c>
      <x:c r="B535" t="str">
        <x:v>P075</x:v>
      </x:c>
      <x:c r="C535" t="str">
        <x:v>DE_RP_2021</x:v>
      </x:c>
      <x:c r="D535" t="str">
        <x:v>CDU</x:v>
      </x:c>
      <x:c r="E535" s="24" t="n">
        <x:v>30</x:v>
      </x:c>
      <x:c r="F535" s="24" t="n">
        <x:v>27.9</x:v>
      </x:c>
      <x:c r="G535" s="24" t="n">
        <x:f>E535-F535</x:f>
        <x:v>2.1000000000000014</x:v>
      </x:c>
      <x:c r="H535" s="24" t="n">
        <x:f>ABS(G535)</x:f>
        <x:v>2.1000000000000014</x:v>
      </x:c>
      <x:c r="I535" s="24" t="n">
        <x:f>G535^2</x:f>
        <x:v>4.410000000000006</x:v>
      </x:c>
    </x:row>
    <x:row r="536">
      <x:c r="A536" t="str">
        <x:v>C075</x:v>
      </x:c>
      <x:c r="B536" t="str">
        <x:v>P075</x:v>
      </x:c>
      <x:c r="C536" t="str">
        <x:v>DE_RP_2021</x:v>
      </x:c>
      <x:c r="D536" t="str">
        <x:v>SPD</x:v>
      </x:c>
      <x:c r="E536" s="24" t="n">
        <x:v>30</x:v>
      </x:c>
      <x:c r="F536" s="24" t="n">
        <x:v>35.7</x:v>
      </x:c>
      <x:c r="G536" s="24" t="n">
        <x:f>E536-F536</x:f>
        <x:v>-5.700000000000003</x:v>
      </x:c>
      <x:c r="H536" s="24" t="n">
        <x:f>ABS(G536)</x:f>
        <x:v>5.700000000000003</x:v>
      </x:c>
      <x:c r="I536" s="24" t="n">
        <x:f>G536^2</x:f>
        <x:v>32.49000000000003</x:v>
      </x:c>
    </x:row>
    <x:row r="537">
      <x:c r="A537" t="str">
        <x:v>C075</x:v>
      </x:c>
      <x:c r="B537" t="str">
        <x:v>P075</x:v>
      </x:c>
      <x:c r="C537" t="str">
        <x:v>DE_RP_2021</x:v>
      </x:c>
      <x:c r="D537" t="str">
        <x:v>GRÜNE</x:v>
      </x:c>
      <x:c r="E537" s="24" t="n">
        <x:v>12</x:v>
      </x:c>
      <x:c r="F537" s="24" t="n">
        <x:v>9.3</x:v>
      </x:c>
      <x:c r="G537" s="24" t="n">
        <x:f>E537-F537</x:f>
        <x:v>2.6999999999999993</x:v>
      </x:c>
      <x:c r="H537" s="24" t="n">
        <x:f>ABS(G537)</x:f>
        <x:v>2.6999999999999993</x:v>
      </x:c>
      <x:c r="I537" s="24" t="n">
        <x:f>G537^2</x:f>
        <x:v>7.2899999999999965</x:v>
      </x:c>
    </x:row>
    <x:row r="538">
      <x:c r="A538" t="str">
        <x:v>C075</x:v>
      </x:c>
      <x:c r="B538" t="str">
        <x:v>P075</x:v>
      </x:c>
      <x:c r="C538" t="str">
        <x:v>DE_RP_2021</x:v>
      </x:c>
      <x:c r="D538" t="str">
        <x:v>FDP</x:v>
      </x:c>
      <x:c r="E538" s="24" t="n">
        <x:v>6</x:v>
      </x:c>
      <x:c r="F538" s="24" t="n">
        <x:v>5.5</x:v>
      </x:c>
      <x:c r="G538" s="24" t="n">
        <x:f>E538-F538</x:f>
        <x:v>0.5</x:v>
      </x:c>
      <x:c r="H538" s="24" t="n">
        <x:f>ABS(G538)</x:f>
        <x:v>0.5</x:v>
      </x:c>
      <x:c r="I538" s="24" t="n">
        <x:f>G538^2</x:f>
        <x:v>0.25</x:v>
      </x:c>
    </x:row>
    <x:row r="539">
      <x:c r="A539" t="str">
        <x:v>C075</x:v>
      </x:c>
      <x:c r="B539" t="str">
        <x:v>P075</x:v>
      </x:c>
      <x:c r="C539" t="str">
        <x:v>DE_RP_2021</x:v>
      </x:c>
      <x:c r="D539" t="str">
        <x:v>LINKE</x:v>
      </x:c>
      <x:c r="E539" s="24" t="n">
        <x:v>3</x:v>
      </x:c>
      <x:c r="F539" s="24" t="n">
        <x:v>2.5</x:v>
      </x:c>
      <x:c r="G539" s="24" t="n">
        <x:f>E539-F539</x:f>
        <x:v>0.5</x:v>
      </x:c>
      <x:c r="H539" s="24" t="n">
        <x:f>ABS(G539)</x:f>
        <x:v>0.5</x:v>
      </x:c>
      <x:c r="I539" s="24" t="n">
        <x:f>G539^2</x:f>
        <x:v>0.25</x:v>
      </x:c>
    </x:row>
    <x:row r="540">
      <x:c r="A540" t="str">
        <x:v>C075</x:v>
      </x:c>
      <x:c r="B540" t="str">
        <x:v>P075</x:v>
      </x:c>
      <x:c r="C540" t="str">
        <x:v>DE_RP_2021</x:v>
      </x:c>
      <x:c r="D540" t="str">
        <x:v>AfD</x:v>
      </x:c>
      <x:c r="E540" s="24" t="n">
        <x:v>10</x:v>
      </x:c>
      <x:c r="F540" s="24" t="n">
        <x:v>8.3</x:v>
      </x:c>
      <x:c r="G540" s="24" t="n">
        <x:f>E540-F540</x:f>
        <x:v>1.6999999999999993</x:v>
      </x:c>
      <x:c r="H540" s="24" t="n">
        <x:f>ABS(G540)</x:f>
        <x:v>1.6999999999999993</x:v>
      </x:c>
      <x:c r="I540" s="24" t="n">
        <x:f>G540^2</x:f>
        <x:v>2.8899999999999975</x:v>
      </x:c>
    </x:row>
    <x:row r="541">
      <x:c r="A541" t="str">
        <x:v>C075</x:v>
      </x:c>
      <x:c r="B541" t="str">
        <x:v>P075</x:v>
      </x:c>
      <x:c r="C541" t="str">
        <x:v>DE_RP_2021</x:v>
      </x:c>
      <x:c r="D541" t="str">
        <x:v>Sonstige</x:v>
      </x:c>
      <x:c r="E541" s="24" t="n">
        <x:v>9</x:v>
      </x:c>
      <x:c r="F541" s="24" t="n">
        <x:v>11</x:v>
      </x:c>
      <x:c r="G541" s="24" t="n">
        <x:f>E541-F541</x:f>
        <x:v>-2</x:v>
      </x:c>
      <x:c r="H541" s="24" t="n">
        <x:f>ABS(G541)</x:f>
        <x:v>2</x:v>
      </x:c>
      <x:c r="I541" s="24" t="n">
        <x:f>G541^2</x:f>
        <x:v>4</x:v>
      </x:c>
    </x:row>
    <x:row r="542">
      <x:c r="A542" t="str">
        <x:v>C076</x:v>
      </x:c>
      <x:c r="B542" t="str">
        <x:v>P076</x:v>
      </x:c>
      <x:c r="C542" t="str">
        <x:v>DE_RP_2021</x:v>
      </x:c>
      <x:c r="D542" t="str">
        <x:v>CDU</x:v>
      </x:c>
      <x:c r="E542" s="24" t="n">
        <x:v>29.9</x:v>
      </x:c>
      <x:c r="F542" s="24" t="n">
        <x:v>27.9</x:v>
      </x:c>
      <x:c r="G542" s="24" t="n">
        <x:f>E542-F542</x:f>
        <x:v>2</x:v>
      </x:c>
      <x:c r="H542" s="24" t="n">
        <x:f>ABS(G542)</x:f>
        <x:v>2</x:v>
      </x:c>
      <x:c r="I542" s="24" t="n">
        <x:f>G542^2</x:f>
        <x:v>4</x:v>
      </x:c>
    </x:row>
    <x:row r="543">
      <x:c r="A543" t="str">
        <x:v>C076</x:v>
      </x:c>
      <x:c r="B543" t="str">
        <x:v>P076</x:v>
      </x:c>
      <x:c r="C543" t="str">
        <x:v>DE_RP_2021</x:v>
      </x:c>
      <x:c r="D543" t="str">
        <x:v>SPD</x:v>
      </x:c>
      <x:c r="E543" s="24" t="n">
        <x:v>30.9</x:v>
      </x:c>
      <x:c r="F543" s="24" t="n">
        <x:v>35.7</x:v>
      </x:c>
      <x:c r="G543" s="24" t="n">
        <x:f>E543-F543</x:f>
        <x:v>-4.800000000000004</x:v>
      </x:c>
      <x:c r="H543" s="24" t="n">
        <x:f>ABS(G543)</x:f>
        <x:v>4.800000000000004</x:v>
      </x:c>
      <x:c r="I543" s="24" t="n">
        <x:f>G543^2</x:f>
        <x:v>23.040000000000042</x:v>
      </x:c>
    </x:row>
    <x:row r="544">
      <x:c r="A544" t="str">
        <x:v>C076</x:v>
      </x:c>
      <x:c r="B544" t="str">
        <x:v>P076</x:v>
      </x:c>
      <x:c r="C544" t="str">
        <x:v>DE_RP_2021</x:v>
      </x:c>
      <x:c r="D544" t="str">
        <x:v>GRÜNE</x:v>
      </x:c>
      <x:c r="E544" s="24" t="n">
        <x:v>12.9</x:v>
      </x:c>
      <x:c r="F544" s="24" t="n">
        <x:v>9.3</x:v>
      </x:c>
      <x:c r="G544" s="24" t="n">
        <x:f>E544-F544</x:f>
        <x:v>3.5999999999999996</x:v>
      </x:c>
      <x:c r="H544" s="24" t="n">
        <x:f>ABS(G544)</x:f>
        <x:v>3.5999999999999996</x:v>
      </x:c>
      <x:c r="I544" s="24" t="n">
        <x:f>G544^2</x:f>
        <x:v>12.959999999999997</x:v>
      </x:c>
    </x:row>
    <x:row r="545">
      <x:c r="A545" t="str">
        <x:v>C076</x:v>
      </x:c>
      <x:c r="B545" t="str">
        <x:v>P076</x:v>
      </x:c>
      <x:c r="C545" t="str">
        <x:v>DE_RP_2021</x:v>
      </x:c>
      <x:c r="D545" t="str">
        <x:v>FDP</x:v>
      </x:c>
      <x:c r="E545" s="24" t="n">
        <x:v>7.5</x:v>
      </x:c>
      <x:c r="F545" s="24" t="n">
        <x:v>5.5</x:v>
      </x:c>
      <x:c r="G545" s="24" t="n">
        <x:f>E545-F545</x:f>
        <x:v>2</x:v>
      </x:c>
      <x:c r="H545" s="24" t="n">
        <x:f>ABS(G545)</x:f>
        <x:v>2</x:v>
      </x:c>
      <x:c r="I545" s="24" t="n">
        <x:f>G545^2</x:f>
        <x:v>4</x:v>
      </x:c>
    </x:row>
    <x:row r="546">
      <x:c r="A546" t="str">
        <x:v>C076</x:v>
      </x:c>
      <x:c r="B546" t="str">
        <x:v>P076</x:v>
      </x:c>
      <x:c r="C546" t="str">
        <x:v>DE_RP_2021</x:v>
      </x:c>
      <x:c r="D546" t="str">
        <x:v>LINKE</x:v>
      </x:c>
      <x:c r="E546" s="24" t="n">
        <x:v>2.4</x:v>
      </x:c>
      <x:c r="F546" s="24" t="n">
        <x:v>2.5</x:v>
      </x:c>
      <x:c r="G546" s="24" t="n">
        <x:f>E546-F546</x:f>
        <x:v>-0.10000000000000009</x:v>
      </x:c>
      <x:c r="H546" s="24" t="n">
        <x:f>ABS(G546)</x:f>
        <x:v>0.10000000000000009</x:v>
      </x:c>
      <x:c r="I546" s="24" t="n">
        <x:f>G546^2</x:f>
        <x:v>0.010000000000000018</x:v>
      </x:c>
    </x:row>
    <x:row r="547">
      <x:c r="A547" t="str">
        <x:v>C076</x:v>
      </x:c>
      <x:c r="B547" t="str">
        <x:v>P076</x:v>
      </x:c>
      <x:c r="C547" t="str">
        <x:v>DE_RP_2021</x:v>
      </x:c>
      <x:c r="D547" t="str">
        <x:v>AfD</x:v>
      </x:c>
      <x:c r="E547" s="24" t="n">
        <x:v>8.7</x:v>
      </x:c>
      <x:c r="F547" s="24" t="n">
        <x:v>8.3</x:v>
      </x:c>
      <x:c r="G547" s="24" t="n">
        <x:f>E547-F547</x:f>
        <x:v>0.3999999999999986</x:v>
      </x:c>
      <x:c r="H547" s="24" t="n">
        <x:f>ABS(G547)</x:f>
        <x:v>0.3999999999999986</x:v>
      </x:c>
      <x:c r="I547" s="24" t="n">
        <x:f>G547^2</x:f>
        <x:v>0.15999999999999887</x:v>
      </x:c>
    </x:row>
    <x:row r="548">
      <x:c r="A548" t="str">
        <x:v>C076</x:v>
      </x:c>
      <x:c r="B548" t="str">
        <x:v>P076</x:v>
      </x:c>
      <x:c r="C548" t="str">
        <x:v>DE_RP_2021</x:v>
      </x:c>
      <x:c r="D548" t="str">
        <x:v>Sonstige</x:v>
      </x:c>
      <x:c r="E548" s="24" t="n">
        <x:v>7.7</x:v>
      </x:c>
      <x:c r="F548" s="24" t="n">
        <x:v>11</x:v>
      </x:c>
      <x:c r="G548" s="24" t="n">
        <x:f>E548-F548</x:f>
        <x:v>-3.3</x:v>
      </x:c>
      <x:c r="H548" s="24" t="n">
        <x:f>ABS(G548)</x:f>
        <x:v>3.3</x:v>
      </x:c>
      <x:c r="I548" s="24" t="n">
        <x:f>G548^2</x:f>
        <x:v>10.889999999999999</x:v>
      </x:c>
    </x:row>
    <x:row r="549">
      <x:c r="A549" t="str">
        <x:v>C077</x:v>
      </x:c>
      <x:c r="B549" t="str">
        <x:v>P077</x:v>
      </x:c>
      <x:c r="C549" t="str">
        <x:v>DE_RP_2021</x:v>
      </x:c>
      <x:c r="D549" t="str">
        <x:v>CDU</x:v>
      </x:c>
      <x:c r="E549" s="24" t="n">
        <x:v>28</x:v>
      </x:c>
      <x:c r="F549" s="24" t="n">
        <x:v>27.9</x:v>
      </x:c>
      <x:c r="G549" s="24" t="n">
        <x:f>E549-F549</x:f>
        <x:v>0.10000000000000142</x:v>
      </x:c>
      <x:c r="H549" s="24" t="n">
        <x:f>ABS(G549)</x:f>
        <x:v>0.10000000000000142</x:v>
      </x:c>
      <x:c r="I549" s="24" t="n">
        <x:f>G549^2</x:f>
        <x:v>0.010000000000000285</x:v>
      </x:c>
    </x:row>
    <x:row r="550">
      <x:c r="A550" t="str">
        <x:v>C077</x:v>
      </x:c>
      <x:c r="B550" t="str">
        <x:v>P077</x:v>
      </x:c>
      <x:c r="C550" t="str">
        <x:v>DE_RP_2021</x:v>
      </x:c>
      <x:c r="D550" t="str">
        <x:v>SPD</x:v>
      </x:c>
      <x:c r="E550" s="24" t="n">
        <x:v>30</x:v>
      </x:c>
      <x:c r="F550" s="24" t="n">
        <x:v>35.7</x:v>
      </x:c>
      <x:c r="G550" s="24" t="n">
        <x:f>E550-F550</x:f>
        <x:v>-5.700000000000003</x:v>
      </x:c>
      <x:c r="H550" s="24" t="n">
        <x:f>ABS(G550)</x:f>
        <x:v>5.700000000000003</x:v>
      </x:c>
      <x:c r="I550" s="24" t="n">
        <x:f>G550^2</x:f>
        <x:v>32.49000000000003</x:v>
      </x:c>
    </x:row>
    <x:row r="551">
      <x:c r="A551" t="str">
        <x:v>C077</x:v>
      </x:c>
      <x:c r="B551" t="str">
        <x:v>P077</x:v>
      </x:c>
      <x:c r="C551" t="str">
        <x:v>DE_RP_2021</x:v>
      </x:c>
      <x:c r="D551" t="str">
        <x:v>GRÜNE</x:v>
      </x:c>
      <x:c r="E551" s="24" t="n">
        <x:v>12</x:v>
      </x:c>
      <x:c r="F551" s="24" t="n">
        <x:v>9.3</x:v>
      </x:c>
      <x:c r="G551" s="24" t="n">
        <x:f>E551-F551</x:f>
        <x:v>2.6999999999999993</x:v>
      </x:c>
      <x:c r="H551" s="24" t="n">
        <x:f>ABS(G551)</x:f>
        <x:v>2.6999999999999993</x:v>
      </x:c>
      <x:c r="I551" s="24" t="n">
        <x:f>G551^2</x:f>
        <x:v>7.2899999999999965</x:v>
      </x:c>
    </x:row>
    <x:row r="552">
      <x:c r="A552" t="str">
        <x:v>C077</x:v>
      </x:c>
      <x:c r="B552" t="str">
        <x:v>P077</x:v>
      </x:c>
      <x:c r="C552" t="str">
        <x:v>DE_RP_2021</x:v>
      </x:c>
      <x:c r="D552" t="str">
        <x:v>FDP</x:v>
      </x:c>
      <x:c r="E552" s="24" t="n">
        <x:v>9</x:v>
      </x:c>
      <x:c r="F552" s="24" t="n">
        <x:v>5.5</x:v>
      </x:c>
      <x:c r="G552" s="24" t="n">
        <x:f>E552-F552</x:f>
        <x:v>3.5</x:v>
      </x:c>
      <x:c r="H552" s="24" t="n">
        <x:f>ABS(G552)</x:f>
        <x:v>3.5</x:v>
      </x:c>
      <x:c r="I552" s="24" t="n">
        <x:f>G552^2</x:f>
        <x:v>12.25</x:v>
      </x:c>
    </x:row>
    <x:row r="553">
      <x:c r="A553" t="str">
        <x:v>C077</x:v>
      </x:c>
      <x:c r="B553" t="str">
        <x:v>P077</x:v>
      </x:c>
      <x:c r="C553" t="str">
        <x:v>DE_RP_2021</x:v>
      </x:c>
      <x:c r="D553" t="str">
        <x:v>LINKE</x:v>
      </x:c>
      <x:c r="E553" s="24" t="n">
        <x:v>3</x:v>
      </x:c>
      <x:c r="F553" s="24" t="n">
        <x:v>2.5</x:v>
      </x:c>
      <x:c r="G553" s="24" t="n">
        <x:f>E553-F553</x:f>
        <x:v>0.5</x:v>
      </x:c>
      <x:c r="H553" s="24" t="n">
        <x:f>ABS(G553)</x:f>
        <x:v>0.5</x:v>
      </x:c>
      <x:c r="I553" s="24" t="n">
        <x:f>G553^2</x:f>
        <x:v>0.25</x:v>
      </x:c>
    </x:row>
    <x:row r="554">
      <x:c r="A554" t="str">
        <x:v>C077</x:v>
      </x:c>
      <x:c r="B554" t="str">
        <x:v>P077</x:v>
      </x:c>
      <x:c r="C554" t="str">
        <x:v>DE_RP_2021</x:v>
      </x:c>
      <x:c r="D554" t="str">
        <x:v>AfD</x:v>
      </x:c>
      <x:c r="E554" s="24" t="n">
        <x:v>9</x:v>
      </x:c>
      <x:c r="F554" s="24" t="n">
        <x:v>8.3</x:v>
      </x:c>
      <x:c r="G554" s="24" t="n">
        <x:f>E554-F554</x:f>
        <x:v>0.6999999999999993</x:v>
      </x:c>
      <x:c r="H554" s="24" t="n">
        <x:f>ABS(G554)</x:f>
        <x:v>0.6999999999999993</x:v>
      </x:c>
      <x:c r="I554" s="24" t="n">
        <x:f>G554^2</x:f>
        <x:v>0.489999999999999</x:v>
      </x:c>
    </x:row>
    <x:row r="555">
      <x:c r="A555" t="str">
        <x:v>C077</x:v>
      </x:c>
      <x:c r="B555" t="str">
        <x:v>P077</x:v>
      </x:c>
      <x:c r="C555" t="str">
        <x:v>DE_RP_2021</x:v>
      </x:c>
      <x:c r="D555" t="str">
        <x:v>Sonstige</x:v>
      </x:c>
      <x:c r="E555" s="24" t="n">
        <x:v>9</x:v>
      </x:c>
      <x:c r="F555" s="24" t="n">
        <x:v>11</x:v>
      </x:c>
      <x:c r="G555" s="24" t="n">
        <x:f>E555-F555</x:f>
        <x:v>-2</x:v>
      </x:c>
      <x:c r="H555" s="24" t="n">
        <x:f>ABS(G555)</x:f>
        <x:v>2</x:v>
      </x:c>
      <x:c r="I555" s="24" t="n">
        <x:f>G555^2</x:f>
        <x:v>4</x:v>
      </x:c>
    </x:row>
    <x:row r="556">
      <x:c r="A556" t="str">
        <x:v>C078</x:v>
      </x:c>
      <x:c r="B556" t="str">
        <x:v>P078</x:v>
      </x:c>
      <x:c r="C556" t="str">
        <x:v>DE_HH_2020</x:v>
      </x:c>
      <x:c r="D556" t="str">
        <x:v>CDU</x:v>
      </x:c>
      <x:c r="E556" s="24" t="n">
        <x:v>12</x:v>
      </x:c>
      <x:c r="F556" s="24" t="n">
        <x:v>11.2</x:v>
      </x:c>
      <x:c r="G556" s="24" t="n">
        <x:f>E556-F556</x:f>
        <x:v>0.8000000000000007</x:v>
      </x:c>
      <x:c r="H556" s="24" t="n">
        <x:f>ABS(G556)</x:f>
        <x:v>0.8000000000000007</x:v>
      </x:c>
      <x:c r="I556" s="24" t="n">
        <x:f>G556^2</x:f>
        <x:v>0.6400000000000011</x:v>
      </x:c>
    </x:row>
    <x:row r="557">
      <x:c r="A557" t="str">
        <x:v>C078</x:v>
      </x:c>
      <x:c r="B557" t="str">
        <x:v>P078</x:v>
      </x:c>
      <x:c r="C557" t="str">
        <x:v>DE_HH_2020</x:v>
      </x:c>
      <x:c r="D557" t="str">
        <x:v>SPD</x:v>
      </x:c>
      <x:c r="E557" s="24" t="n">
        <x:v>39</x:v>
      </x:c>
      <x:c r="F557" s="24" t="n">
        <x:v>39</x:v>
      </x:c>
      <x:c r="G557" s="24" t="n">
        <x:f>E557-F557</x:f>
        <x:v>0</x:v>
      </x:c>
      <x:c r="H557" s="24" t="n">
        <x:f>ABS(G557)</x:f>
        <x:v>0</x:v>
      </x:c>
      <x:c r="I557" s="24" t="n">
        <x:f>G557^2</x:f>
        <x:v>0</x:v>
      </x:c>
    </x:row>
    <x:row r="558">
      <x:c r="A558" t="str">
        <x:v>C078</x:v>
      </x:c>
      <x:c r="B558" t="str">
        <x:v>P078</x:v>
      </x:c>
      <x:c r="C558" t="str">
        <x:v>DE_HH_2020</x:v>
      </x:c>
      <x:c r="D558" t="str">
        <x:v>GRÜNE</x:v>
      </x:c>
      <x:c r="E558" s="24" t="n">
        <x:v>24</x:v>
      </x:c>
      <x:c r="F558" s="24" t="n">
        <x:v>24.2</x:v>
      </x:c>
      <x:c r="G558" s="24" t="n">
        <x:f>E558-F558</x:f>
        <x:v>-0.1999999999999993</x:v>
      </x:c>
      <x:c r="H558" s="24" t="n">
        <x:f>ABS(G558)</x:f>
        <x:v>0.1999999999999993</x:v>
      </x:c>
      <x:c r="I558" s="24" t="n">
        <x:f>G558^2</x:f>
        <x:v>0.039999999999999716</x:v>
      </x:c>
    </x:row>
    <x:row r="559">
      <x:c r="A559" t="str">
        <x:v>C078</x:v>
      </x:c>
      <x:c r="B559" t="str">
        <x:v>P078</x:v>
      </x:c>
      <x:c r="C559" t="str">
        <x:v>DE_HH_2020</x:v>
      </x:c>
      <x:c r="D559" t="str">
        <x:v>FDP</x:v>
      </x:c>
      <x:c r="E559" s="24" t="n">
        <x:v>5</x:v>
      </x:c>
      <x:c r="F559" s="24" t="n">
        <x:v>5</x:v>
      </x:c>
      <x:c r="G559" s="24" t="n">
        <x:f>E559-F559</x:f>
        <x:v>0</x:v>
      </x:c>
      <x:c r="H559" s="24" t="n">
        <x:f>ABS(G559)</x:f>
        <x:v>0</x:v>
      </x:c>
      <x:c r="I559" s="24" t="n">
        <x:f>G559^2</x:f>
        <x:v>0</x:v>
      </x:c>
    </x:row>
    <x:row r="560">
      <x:c r="A560" t="str">
        <x:v>C078</x:v>
      </x:c>
      <x:c r="B560" t="str">
        <x:v>P078</x:v>
      </x:c>
      <x:c r="C560" t="str">
        <x:v>DE_HH_2020</x:v>
      </x:c>
      <x:c r="D560" t="str">
        <x:v>LINKE</x:v>
      </x:c>
      <x:c r="E560" s="24" t="n">
        <x:v>9</x:v>
      </x:c>
      <x:c r="F560" s="24" t="n">
        <x:v>9.1</x:v>
      </x:c>
      <x:c r="G560" s="24" t="n">
        <x:f>E560-F560</x:f>
        <x:v>-0.09999999999999964</x:v>
      </x:c>
      <x:c r="H560" s="24" t="n">
        <x:f>ABS(G560)</x:f>
        <x:v>0.09999999999999964</x:v>
      </x:c>
      <x:c r="I560" s="24" t="n">
        <x:f>G560^2</x:f>
        <x:v>0.009999999999999929</x:v>
      </x:c>
    </x:row>
    <x:row r="561">
      <x:c r="A561" t="str">
        <x:v>C078</x:v>
      </x:c>
      <x:c r="B561" t="str">
        <x:v>P078</x:v>
      </x:c>
      <x:c r="C561" t="str">
        <x:v>DE_HH_2020</x:v>
      </x:c>
      <x:c r="D561" t="str">
        <x:v>AfD</x:v>
      </x:c>
      <x:c r="E561" s="24" t="n">
        <x:v>6</x:v>
      </x:c>
      <x:c r="F561" s="24" t="n">
        <x:v>5.3</x:v>
      </x:c>
      <x:c r="G561" s="24" t="n">
        <x:f>E561-F561</x:f>
        <x:v>0.7000000000000002</x:v>
      </x:c>
      <x:c r="H561" s="24" t="n">
        <x:f>ABS(G561)</x:f>
        <x:v>0.7000000000000002</x:v>
      </x:c>
      <x:c r="I561" s="24" t="n">
        <x:f>G561^2</x:f>
        <x:v>0.49000000000000027</x:v>
      </x:c>
    </x:row>
    <x:row r="562">
      <x:c r="A562" t="str">
        <x:v>C078</x:v>
      </x:c>
      <x:c r="B562" t="str">
        <x:v>P078</x:v>
      </x:c>
      <x:c r="C562" t="str">
        <x:v>DE_HH_2020</x:v>
      </x:c>
      <x:c r="D562" t="str">
        <x:v>Sonstige</x:v>
      </x:c>
      <x:c r="E562" s="24" t="n">
        <x:v>6</x:v>
      </x:c>
      <x:c r="F562" s="24" t="n">
        <x:v>6.2</x:v>
      </x:c>
      <x:c r="G562" s="24" t="n">
        <x:f>E562-F562</x:f>
        <x:v>-0.20000000000000018</x:v>
      </x:c>
      <x:c r="H562" s="24" t="n">
        <x:f>ABS(G562)</x:f>
        <x:v>0.20000000000000018</x:v>
      </x:c>
      <x:c r="I562" s="24" t="n">
        <x:f>G562^2</x:f>
        <x:v>0.04000000000000007</x:v>
      </x:c>
    </x:row>
    <x:row r="563">
      <x:c r="A563" t="str">
        <x:v>C079</x:v>
      </x:c>
      <x:c r="B563" t="str">
        <x:v>P079</x:v>
      </x:c>
      <x:c r="C563" t="str">
        <x:v>DE_HH_2020</x:v>
      </x:c>
      <x:c r="D563" t="str">
        <x:v>CDU</x:v>
      </x:c>
      <x:c r="E563" s="24" t="n">
        <x:v>13.8</x:v>
      </x:c>
      <x:c r="F563" s="24" t="n">
        <x:v>11.2</x:v>
      </x:c>
      <x:c r="G563" s="24" t="n">
        <x:f>E563-F563</x:f>
        <x:v>2.6000000000000014</x:v>
      </x:c>
      <x:c r="H563" s="24" t="n">
        <x:f>ABS(G563)</x:f>
        <x:v>2.6000000000000014</x:v>
      </x:c>
      <x:c r="I563" s="24" t="n">
        <x:f>G563^2</x:f>
        <x:v>6.760000000000008</x:v>
      </x:c>
    </x:row>
    <x:row r="564">
      <x:c r="A564" t="str">
        <x:v>C079</x:v>
      </x:c>
      <x:c r="B564" t="str">
        <x:v>P079</x:v>
      </x:c>
      <x:c r="C564" t="str">
        <x:v>DE_HH_2020</x:v>
      </x:c>
      <x:c r="D564" t="str">
        <x:v>SPD</x:v>
      </x:c>
      <x:c r="E564" s="24" t="n">
        <x:v>35.4</x:v>
      </x:c>
      <x:c r="F564" s="24" t="n">
        <x:v>39</x:v>
      </x:c>
      <x:c r="G564" s="24" t="n">
        <x:f>E564-F564</x:f>
        <x:v>-3.6000000000000014</x:v>
      </x:c>
      <x:c r="H564" s="24" t="n">
        <x:f>ABS(G564)</x:f>
        <x:v>3.6000000000000014</x:v>
      </x:c>
      <x:c r="I564" s="24" t="n">
        <x:f>G564^2</x:f>
        <x:v>12.96000000000001</x:v>
      </x:c>
    </x:row>
    <x:row r="565">
      <x:c r="A565" t="str">
        <x:v>C079</x:v>
      </x:c>
      <x:c r="B565" t="str">
        <x:v>P079</x:v>
      </x:c>
      <x:c r="C565" t="str">
        <x:v>DE_HH_2020</x:v>
      </x:c>
      <x:c r="D565" t="str">
        <x:v>GRÜNE</x:v>
      </x:c>
      <x:c r="E565" s="24" t="n">
        <x:v>24.5</x:v>
      </x:c>
      <x:c r="F565" s="24" t="n">
        <x:v>24.2</x:v>
      </x:c>
      <x:c r="G565" s="24" t="n">
        <x:f>E565-F565</x:f>
        <x:v>0.3000000000000007</x:v>
      </x:c>
      <x:c r="H565" s="24" t="n">
        <x:f>ABS(G565)</x:f>
        <x:v>0.3000000000000007</x:v>
      </x:c>
      <x:c r="I565" s="24" t="n">
        <x:f>G565^2</x:f>
        <x:v>0.09000000000000043</x:v>
      </x:c>
    </x:row>
    <x:row r="566">
      <x:c r="A566" t="str">
        <x:v>C079</x:v>
      </x:c>
      <x:c r="B566" t="str">
        <x:v>P079</x:v>
      </x:c>
      <x:c r="C566" t="str">
        <x:v>DE_HH_2020</x:v>
      </x:c>
      <x:c r="D566" t="str">
        <x:v>FDP</x:v>
      </x:c>
      <x:c r="E566" s="24" t="n">
        <x:v>5.2</x:v>
      </x:c>
      <x:c r="F566" s="24" t="n">
        <x:v>5</x:v>
      </x:c>
      <x:c r="G566" s="24" t="n">
        <x:f>E566-F566</x:f>
        <x:v>0.20000000000000018</x:v>
      </x:c>
      <x:c r="H566" s="24" t="n">
        <x:f>ABS(G566)</x:f>
        <x:v>0.20000000000000018</x:v>
      </x:c>
      <x:c r="I566" s="24" t="n">
        <x:f>G566^2</x:f>
        <x:v>0.04000000000000007</x:v>
      </x:c>
    </x:row>
    <x:row r="567">
      <x:c r="A567" t="str">
        <x:v>C079</x:v>
      </x:c>
      <x:c r="B567" t="str">
        <x:v>P079</x:v>
      </x:c>
      <x:c r="C567" t="str">
        <x:v>DE_HH_2020</x:v>
      </x:c>
      <x:c r="D567" t="str">
        <x:v>LINKE</x:v>
      </x:c>
      <x:c r="E567" s="24" t="n">
        <x:v>8.6</x:v>
      </x:c>
      <x:c r="F567" s="24" t="n">
        <x:v>9.1</x:v>
      </x:c>
      <x:c r="G567" s="24" t="n">
        <x:f>E567-F567</x:f>
        <x:v>-0.5</x:v>
      </x:c>
      <x:c r="H567" s="24" t="n">
        <x:f>ABS(G567)</x:f>
        <x:v>0.5</x:v>
      </x:c>
      <x:c r="I567" s="24" t="n">
        <x:f>G567^2</x:f>
        <x:v>0.25</x:v>
      </x:c>
    </x:row>
    <x:row r="568">
      <x:c r="A568" t="str">
        <x:v>C079</x:v>
      </x:c>
      <x:c r="B568" t="str">
        <x:v>P079</x:v>
      </x:c>
      <x:c r="C568" t="str">
        <x:v>DE_HH_2020</x:v>
      </x:c>
      <x:c r="D568" t="str">
        <x:v>AfD</x:v>
      </x:c>
      <x:c r="E568" s="24" t="n">
        <x:v>7.9</x:v>
      </x:c>
      <x:c r="F568" s="24" t="n">
        <x:v>5.3</x:v>
      </x:c>
      <x:c r="G568" s="24" t="n">
        <x:f>E568-F568</x:f>
        <x:v>2.6000000000000005</x:v>
      </x:c>
      <x:c r="H568" s="24" t="n">
        <x:f>ABS(G568)</x:f>
        <x:v>2.6000000000000005</x:v>
      </x:c>
      <x:c r="I568" s="24" t="n">
        <x:f>G568^2</x:f>
        <x:v>6.7600000000000025</x:v>
      </x:c>
    </x:row>
    <x:row r="569">
      <x:c r="A569" t="str">
        <x:v>C079</x:v>
      </x:c>
      <x:c r="B569" t="str">
        <x:v>P079</x:v>
      </x:c>
      <x:c r="C569" t="str">
        <x:v>DE_HH_2020</x:v>
      </x:c>
      <x:c r="D569" t="str">
        <x:v>Sonstige</x:v>
      </x:c>
      <x:c r="E569" s="24" t="n">
        <x:v>4.6</x:v>
      </x:c>
      <x:c r="F569" s="24" t="n">
        <x:v>6.2</x:v>
      </x:c>
      <x:c r="G569" s="24" t="n">
        <x:f>E569-F569</x:f>
        <x:v>-1.6000000000000005</x:v>
      </x:c>
      <x:c r="H569" s="24" t="n">
        <x:f>ABS(G569)</x:f>
        <x:v>1.6000000000000005</x:v>
      </x:c>
      <x:c r="I569" s="24" t="n">
        <x:f>G569^2</x:f>
        <x:v>2.560000000000002</x:v>
      </x:c>
    </x:row>
    <x:row r="570">
      <x:c r="A570" t="str">
        <x:v>C080</x:v>
      </x:c>
      <x:c r="B570" t="str">
        <x:v>P080</x:v>
      </x:c>
      <x:c r="C570" t="str">
        <x:v>DE_HH_2020</x:v>
      </x:c>
      <x:c r="D570" t="str">
        <x:v>CDU</x:v>
      </x:c>
      <x:c r="E570" s="24" t="n">
        <x:v>12</x:v>
      </x:c>
      <x:c r="F570" s="24" t="n">
        <x:v>11.2</x:v>
      </x:c>
      <x:c r="G570" s="24" t="n">
        <x:f>E570-F570</x:f>
        <x:v>0.8000000000000007</x:v>
      </x:c>
      <x:c r="H570" s="24" t="n">
        <x:f>ABS(G570)</x:f>
        <x:v>0.8000000000000007</x:v>
      </x:c>
      <x:c r="I570" s="24" t="n">
        <x:f>G570^2</x:f>
        <x:v>0.6400000000000011</x:v>
      </x:c>
    </x:row>
    <x:row r="571">
      <x:c r="A571" t="str">
        <x:v>C080</x:v>
      </x:c>
      <x:c r="B571" t="str">
        <x:v>P080</x:v>
      </x:c>
      <x:c r="C571" t="str">
        <x:v>DE_HH_2020</x:v>
      </x:c>
      <x:c r="D571" t="str">
        <x:v>SPD</x:v>
      </x:c>
      <x:c r="E571" s="24" t="n">
        <x:v>34</x:v>
      </x:c>
      <x:c r="F571" s="24" t="n">
        <x:v>39</x:v>
      </x:c>
      <x:c r="G571" s="24" t="n">
        <x:f>E571-F571</x:f>
        <x:v>-5</x:v>
      </x:c>
      <x:c r="H571" s="24" t="n">
        <x:f>ABS(G571)</x:f>
        <x:v>5</x:v>
      </x:c>
      <x:c r="I571" s="24" t="n">
        <x:f>G571^2</x:f>
        <x:v>25</x:v>
      </x:c>
    </x:row>
    <x:row r="572">
      <x:c r="A572" t="str">
        <x:v>C080</x:v>
      </x:c>
      <x:c r="B572" t="str">
        <x:v>P080</x:v>
      </x:c>
      <x:c r="C572" t="str">
        <x:v>DE_HH_2020</x:v>
      </x:c>
      <x:c r="D572" t="str">
        <x:v>GRÜNE</x:v>
      </x:c>
      <x:c r="E572" s="24" t="n">
        <x:v>32</x:v>
      </x:c>
      <x:c r="F572" s="24" t="n">
        <x:v>24.2</x:v>
      </x:c>
      <x:c r="G572" s="24" t="n">
        <x:f>E572-F572</x:f>
        <x:v>7.800000000000001</x:v>
      </x:c>
      <x:c r="H572" s="24" t="n">
        <x:f>ABS(G572)</x:f>
        <x:v>7.800000000000001</x:v>
      </x:c>
      <x:c r="I572" s="24" t="n">
        <x:f>G572^2</x:f>
        <x:v>60.84000000000001</x:v>
      </x:c>
    </x:row>
    <x:row r="573">
      <x:c r="A573" t="str">
        <x:v>C080</x:v>
      </x:c>
      <x:c r="B573" t="str">
        <x:v>P080</x:v>
      </x:c>
      <x:c r="C573" t="str">
        <x:v>DE_HH_2020</x:v>
      </x:c>
      <x:c r="D573" t="str">
        <x:v>FDP</x:v>
      </x:c>
      <x:c r="E573" s="24" t="n">
        <x:v>6</x:v>
      </x:c>
      <x:c r="F573" s="24" t="n">
        <x:v>5</x:v>
      </x:c>
      <x:c r="G573" s="24" t="n">
        <x:f>E573-F573</x:f>
        <x:v>1</x:v>
      </x:c>
      <x:c r="H573" s="24" t="n">
        <x:f>ABS(G573)</x:f>
        <x:v>1</x:v>
      </x:c>
      <x:c r="I573" s="24" t="n">
        <x:f>G573^2</x:f>
        <x:v>1</x:v>
      </x:c>
    </x:row>
    <x:row r="574">
      <x:c r="A574" t="str">
        <x:v>C080</x:v>
      </x:c>
      <x:c r="B574" t="str">
        <x:v>P080</x:v>
      </x:c>
      <x:c r="C574" t="str">
        <x:v>DE_HH_2020</x:v>
      </x:c>
      <x:c r="D574" t="str">
        <x:v>LINKE</x:v>
      </x:c>
      <x:c r="E574" s="24" t="n">
        <x:v>7</x:v>
      </x:c>
      <x:c r="F574" s="24" t="n">
        <x:v>9.1</x:v>
      </x:c>
      <x:c r="G574" s="24" t="n">
        <x:f>E574-F574</x:f>
        <x:v>-2.0999999999999996</x:v>
      </x:c>
      <x:c r="H574" s="24" t="n">
        <x:f>ABS(G574)</x:f>
        <x:v>2.0999999999999996</x:v>
      </x:c>
      <x:c r="I574" s="24" t="n">
        <x:f>G574^2</x:f>
        <x:v>4.409999999999998</x:v>
      </x:c>
    </x:row>
    <x:row r="575">
      <x:c r="A575" t="str">
        <x:v>C080</x:v>
      </x:c>
      <x:c r="B575" t="str">
        <x:v>P080</x:v>
      </x:c>
      <x:c r="C575" t="str">
        <x:v>DE_HH_2020</x:v>
      </x:c>
      <x:c r="D575" t="str">
        <x:v>AfD</x:v>
      </x:c>
      <x:c r="E575" s="24" t="n">
        <x:v>5</x:v>
      </x:c>
      <x:c r="F575" s="24" t="n">
        <x:v>5.3</x:v>
      </x:c>
      <x:c r="G575" s="24" t="n">
        <x:f>E575-F575</x:f>
        <x:v>-0.2999999999999998</x:v>
      </x:c>
      <x:c r="H575" s="24" t="n">
        <x:f>ABS(G575)</x:f>
        <x:v>0.2999999999999998</x:v>
      </x:c>
      <x:c r="I575" s="24" t="n">
        <x:f>G575^2</x:f>
        <x:v>0.0899999999999999</x:v>
      </x:c>
    </x:row>
    <x:row r="576">
      <x:c r="A576" t="str">
        <x:v>C080</x:v>
      </x:c>
      <x:c r="B576" t="str">
        <x:v>P080</x:v>
      </x:c>
      <x:c r="C576" t="str">
        <x:v>DE_HH_2020</x:v>
      </x:c>
      <x:c r="D576" t="str">
        <x:v>Sonstige</x:v>
      </x:c>
      <x:c r="E576" s="24" t="n">
        <x:v>5</x:v>
      </x:c>
      <x:c r="F576" s="24" t="n">
        <x:v>6.2</x:v>
      </x:c>
      <x:c r="G576" s="24" t="n">
        <x:f>E576-F576</x:f>
        <x:v>-1.2000000000000002</x:v>
      </x:c>
      <x:c r="H576" s="24" t="n">
        <x:f>ABS(G576)</x:f>
        <x:v>1.2000000000000002</x:v>
      </x:c>
      <x:c r="I576" s="24" t="n">
        <x:f>G576^2</x:f>
        <x:v>1.4400000000000004</x:v>
      </x:c>
    </x:row>
    <x:row r="577">
      <x:c r="A577" t="str">
        <x:v>C081</x:v>
      </x:c>
      <x:c r="B577" t="str">
        <x:v>P081</x:v>
      </x:c>
      <x:c r="C577" t="str">
        <x:v>DE_HH_2020</x:v>
      </x:c>
      <x:c r="D577" t="str">
        <x:v>CDU</x:v>
      </x:c>
      <x:c r="E577" s="24" t="n">
        <x:v>13</x:v>
      </x:c>
      <x:c r="F577" s="24" t="n">
        <x:v>11.2</x:v>
      </x:c>
      <x:c r="G577" s="24" t="n">
        <x:f>E577-F577</x:f>
        <x:v>1.8000000000000007</x:v>
      </x:c>
      <x:c r="H577" s="24" t="n">
        <x:f>ABS(G577)</x:f>
        <x:v>1.8000000000000007</x:v>
      </x:c>
      <x:c r="I577" s="24" t="n">
        <x:f>G577^2</x:f>
        <x:v>3.2400000000000024</x:v>
      </x:c>
    </x:row>
    <x:row r="578">
      <x:c r="A578" t="str">
        <x:v>C081</x:v>
      </x:c>
      <x:c r="B578" t="str">
        <x:v>P081</x:v>
      </x:c>
      <x:c r="C578" t="str">
        <x:v>DE_HH_2020</x:v>
      </x:c>
      <x:c r="D578" t="str">
        <x:v>SPD</x:v>
      </x:c>
      <x:c r="E578" s="24" t="n">
        <x:v>38</x:v>
      </x:c>
      <x:c r="F578" s="24" t="n">
        <x:v>39</x:v>
      </x:c>
      <x:c r="G578" s="24" t="n">
        <x:f>E578-F578</x:f>
        <x:v>-1</x:v>
      </x:c>
      <x:c r="H578" s="24" t="n">
        <x:f>ABS(G578)</x:f>
        <x:v>1</x:v>
      </x:c>
      <x:c r="I578" s="24" t="n">
        <x:f>G578^2</x:f>
        <x:v>1</x:v>
      </x:c>
    </x:row>
    <x:row r="579">
      <x:c r="A579" t="str">
        <x:v>C081</x:v>
      </x:c>
      <x:c r="B579" t="str">
        <x:v>P081</x:v>
      </x:c>
      <x:c r="C579" t="str">
        <x:v>DE_HH_2020</x:v>
      </x:c>
      <x:c r="D579" t="str">
        <x:v>GRÜNE</x:v>
      </x:c>
      <x:c r="E579" s="24" t="n">
        <x:v>23</x:v>
      </x:c>
      <x:c r="F579" s="24" t="n">
        <x:v>24.2</x:v>
      </x:c>
      <x:c r="G579" s="24" t="n">
        <x:f>E579-F579</x:f>
        <x:v>-1.1999999999999993</x:v>
      </x:c>
      <x:c r="H579" s="24" t="n">
        <x:f>ABS(G579)</x:f>
        <x:v>1.1999999999999993</x:v>
      </x:c>
      <x:c r="I579" s="24" t="n">
        <x:f>G579^2</x:f>
        <x:v>1.4399999999999984</x:v>
      </x:c>
    </x:row>
    <x:row r="580">
      <x:c r="A580" t="str">
        <x:v>C081</x:v>
      </x:c>
      <x:c r="B580" t="str">
        <x:v>P081</x:v>
      </x:c>
      <x:c r="C580" t="str">
        <x:v>DE_HH_2020</x:v>
      </x:c>
      <x:c r="D580" t="str">
        <x:v>FDP</x:v>
      </x:c>
      <x:c r="E580" s="24" t="n">
        <x:v>5</x:v>
      </x:c>
      <x:c r="F580" s="24" t="n">
        <x:v>5</x:v>
      </x:c>
      <x:c r="G580" s="24" t="n">
        <x:f>E580-F580</x:f>
        <x:v>0</x:v>
      </x:c>
      <x:c r="H580" s="24" t="n">
        <x:f>ABS(G580)</x:f>
        <x:v>0</x:v>
      </x:c>
      <x:c r="I580" s="24" t="n">
        <x:f>G580^2</x:f>
        <x:v>0</x:v>
      </x:c>
    </x:row>
    <x:row r="581">
      <x:c r="A581" t="str">
        <x:v>C081</x:v>
      </x:c>
      <x:c r="B581" t="str">
        <x:v>P081</x:v>
      </x:c>
      <x:c r="C581" t="str">
        <x:v>DE_HH_2020</x:v>
      </x:c>
      <x:c r="D581" t="str">
        <x:v>LINKE</x:v>
      </x:c>
      <x:c r="E581" s="24" t="n">
        <x:v>8</x:v>
      </x:c>
      <x:c r="F581" s="24" t="n">
        <x:v>9.1</x:v>
      </x:c>
      <x:c r="G581" s="24" t="n">
        <x:f>E581-F581</x:f>
        <x:v>-1.0999999999999996</x:v>
      </x:c>
      <x:c r="H581" s="24" t="n">
        <x:f>ABS(G581)</x:f>
        <x:v>1.0999999999999996</x:v>
      </x:c>
      <x:c r="I581" s="24" t="n">
        <x:f>G581^2</x:f>
        <x:v>1.2099999999999993</x:v>
      </x:c>
    </x:row>
    <x:row r="582">
      <x:c r="A582" t="str">
        <x:v>C081</x:v>
      </x:c>
      <x:c r="B582" t="str">
        <x:v>P081</x:v>
      </x:c>
      <x:c r="C582" t="str">
        <x:v>DE_HH_2020</x:v>
      </x:c>
      <x:c r="D582" t="str">
        <x:v>AfD</x:v>
      </x:c>
      <x:c r="E582" s="24" t="n">
        <x:v>7</x:v>
      </x:c>
      <x:c r="F582" s="24" t="n">
        <x:v>5.3</x:v>
      </x:c>
      <x:c r="G582" s="24" t="n">
        <x:f>E582-F582</x:f>
        <x:v>1.7000000000000002</x:v>
      </x:c>
      <x:c r="H582" s="24" t="n">
        <x:f>ABS(G582)</x:f>
        <x:v>1.7000000000000002</x:v>
      </x:c>
      <x:c r="I582" s="24" t="n">
        <x:f>G582^2</x:f>
        <x:v>2.8900000000000006</x:v>
      </x:c>
    </x:row>
    <x:row r="583">
      <x:c r="A583" t="str">
        <x:v>C081</x:v>
      </x:c>
      <x:c r="B583" t="str">
        <x:v>P081</x:v>
      </x:c>
      <x:c r="C583" t="str">
        <x:v>DE_HH_2020</x:v>
      </x:c>
      <x:c r="D583" t="str">
        <x:v>Sonstige</x:v>
      </x:c>
      <x:c r="E583" s="24" t="n">
        <x:v>6</x:v>
      </x:c>
      <x:c r="F583" s="24" t="n">
        <x:v>6.2</x:v>
      </x:c>
      <x:c r="G583" s="24" t="n">
        <x:f>E583-F583</x:f>
        <x:v>-0.20000000000000018</x:v>
      </x:c>
      <x:c r="H583" s="24" t="n">
        <x:f>ABS(G583)</x:f>
        <x:v>0.20000000000000018</x:v>
      </x:c>
      <x:c r="I583" s="24" t="n">
        <x:f>G583^2</x:f>
        <x:v>0.04000000000000007</x:v>
      </x:c>
    </x:row>
    <x:row r="584">
      <x:c r="A584" t="str">
        <x:v>C082</x:v>
      </x:c>
      <x:c r="B584" t="str">
        <x:v>P082</x:v>
      </x:c>
      <x:c r="C584" t="str">
        <x:v>DE_HH_2020</x:v>
      </x:c>
      <x:c r="D584" t="str">
        <x:v>CDU</x:v>
      </x:c>
      <x:c r="E584" s="24" t="n">
        <x:v>14</x:v>
      </x:c>
      <x:c r="F584" s="24" t="n">
        <x:v>11.2</x:v>
      </x:c>
      <x:c r="G584" s="24" t="n">
        <x:f>E584-F584</x:f>
        <x:v>2.8000000000000007</x:v>
      </x:c>
      <x:c r="H584" s="24" t="n">
        <x:f>ABS(G584)</x:f>
        <x:v>2.8000000000000007</x:v>
      </x:c>
      <x:c r="I584" s="24" t="n">
        <x:f>G584^2</x:f>
        <x:v>7.840000000000004</x:v>
      </x:c>
    </x:row>
    <x:row r="585">
      <x:c r="A585" t="str">
        <x:v>C082</x:v>
      </x:c>
      <x:c r="B585" t="str">
        <x:v>P082</x:v>
      </x:c>
      <x:c r="C585" t="str">
        <x:v>DE_HH_2020</x:v>
      </x:c>
      <x:c r="D585" t="str">
        <x:v>SPD</x:v>
      </x:c>
      <x:c r="E585" s="24" t="n">
        <x:v>38</x:v>
      </x:c>
      <x:c r="F585" s="24" t="n">
        <x:v>39</x:v>
      </x:c>
      <x:c r="G585" s="24" t="n">
        <x:f>E585-F585</x:f>
        <x:v>-1</x:v>
      </x:c>
      <x:c r="H585" s="24" t="n">
        <x:f>ABS(G585)</x:f>
        <x:v>1</x:v>
      </x:c>
      <x:c r="I585" s="24" t="n">
        <x:f>G585^2</x:f>
        <x:v>1</x:v>
      </x:c>
    </x:row>
    <x:row r="586">
      <x:c r="A586" t="str">
        <x:v>C082</x:v>
      </x:c>
      <x:c r="B586" t="str">
        <x:v>P082</x:v>
      </x:c>
      <x:c r="C586" t="str">
        <x:v>DE_HH_2020</x:v>
      </x:c>
      <x:c r="D586" t="str">
        <x:v>GRÜNE</x:v>
      </x:c>
      <x:c r="E586" s="24" t="n">
        <x:v>23</x:v>
      </x:c>
      <x:c r="F586" s="24" t="n">
        <x:v>24.2</x:v>
      </x:c>
      <x:c r="G586" s="24" t="n">
        <x:f>E586-F586</x:f>
        <x:v>-1.1999999999999993</x:v>
      </x:c>
      <x:c r="H586" s="24" t="n">
        <x:f>ABS(G586)</x:f>
        <x:v>1.1999999999999993</x:v>
      </x:c>
      <x:c r="I586" s="24" t="n">
        <x:f>G586^2</x:f>
        <x:v>1.4399999999999984</x:v>
      </x:c>
    </x:row>
    <x:row r="587">
      <x:c r="A587" t="str">
        <x:v>C082</x:v>
      </x:c>
      <x:c r="B587" t="str">
        <x:v>P082</x:v>
      </x:c>
      <x:c r="C587" t="str">
        <x:v>DE_HH_2020</x:v>
      </x:c>
      <x:c r="D587" t="str">
        <x:v>FDP</x:v>
      </x:c>
      <x:c r="E587" s="24" t="n">
        <x:v>5</x:v>
      </x:c>
      <x:c r="F587" s="24" t="n">
        <x:v>5</x:v>
      </x:c>
      <x:c r="G587" s="24" t="n">
        <x:f>E587-F587</x:f>
        <x:v>0</x:v>
      </x:c>
      <x:c r="H587" s="24" t="n">
        <x:f>ABS(G587)</x:f>
        <x:v>0</x:v>
      </x:c>
      <x:c r="I587" s="24" t="n">
        <x:f>G587^2</x:f>
        <x:v>0</x:v>
      </x:c>
    </x:row>
    <x:row r="588">
      <x:c r="A588" t="str">
        <x:v>C082</x:v>
      </x:c>
      <x:c r="B588" t="str">
        <x:v>P082</x:v>
      </x:c>
      <x:c r="C588" t="str">
        <x:v>DE_HH_2020</x:v>
      </x:c>
      <x:c r="D588" t="str">
        <x:v>LINKE</x:v>
      </x:c>
      <x:c r="E588" s="24" t="n">
        <x:v>8</x:v>
      </x:c>
      <x:c r="F588" s="24" t="n">
        <x:v>9.1</x:v>
      </x:c>
      <x:c r="G588" s="24" t="n">
        <x:f>E588-F588</x:f>
        <x:v>-1.0999999999999996</x:v>
      </x:c>
      <x:c r="H588" s="24" t="n">
        <x:f>ABS(G588)</x:f>
        <x:v>1.0999999999999996</x:v>
      </x:c>
      <x:c r="I588" s="24" t="n">
        <x:f>G588^2</x:f>
        <x:v>1.2099999999999993</x:v>
      </x:c>
    </x:row>
    <x:row r="589">
      <x:c r="A589" t="str">
        <x:v>C082</x:v>
      </x:c>
      <x:c r="B589" t="str">
        <x:v>P082</x:v>
      </x:c>
      <x:c r="C589" t="str">
        <x:v>DE_HH_2020</x:v>
      </x:c>
      <x:c r="D589" t="str">
        <x:v>AfD</x:v>
      </x:c>
      <x:c r="E589" s="24" t="n">
        <x:v>6</x:v>
      </x:c>
      <x:c r="F589" s="24" t="n">
        <x:v>5.3</x:v>
      </x:c>
      <x:c r="G589" s="24" t="n">
        <x:f>E589-F589</x:f>
        <x:v>0.7000000000000002</x:v>
      </x:c>
      <x:c r="H589" s="24" t="n">
        <x:f>ABS(G589)</x:f>
        <x:v>0.7000000000000002</x:v>
      </x:c>
      <x:c r="I589" s="24" t="n">
        <x:f>G589^2</x:f>
        <x:v>0.49000000000000027</x:v>
      </x:c>
    </x:row>
    <x:row r="590">
      <x:c r="A590" t="str">
        <x:v>C082</x:v>
      </x:c>
      <x:c r="B590" t="str">
        <x:v>P082</x:v>
      </x:c>
      <x:c r="C590" t="str">
        <x:v>DE_HH_2020</x:v>
      </x:c>
      <x:c r="D590" t="str">
        <x:v>Sonstige</x:v>
      </x:c>
      <x:c r="E590" s="24" t="n">
        <x:v>6</x:v>
      </x:c>
      <x:c r="F590" s="24" t="n">
        <x:v>6.2</x:v>
      </x:c>
      <x:c r="G590" s="24" t="n">
        <x:f>E590-F590</x:f>
        <x:v>-0.20000000000000018</x:v>
      </x:c>
      <x:c r="H590" s="24" t="n">
        <x:f>ABS(G590)</x:f>
        <x:v>0.20000000000000018</x:v>
      </x:c>
      <x:c r="I590" s="24" t="n">
        <x:f>G590^2</x:f>
        <x:v>0.04000000000000007</x:v>
      </x:c>
    </x:row>
    <x:row r="591">
      <x:c r="A591" t="str">
        <x:v>C083</x:v>
      </x:c>
      <x:c r="B591" t="str">
        <x:v>P083</x:v>
      </x:c>
      <x:c r="C591" t="str">
        <x:v>DE_HH_2020</x:v>
      </x:c>
      <x:c r="D591" t="str">
        <x:v>CDU</x:v>
      </x:c>
      <x:c r="E591" s="24" t="n">
        <x:v>14</x:v>
      </x:c>
      <x:c r="F591" s="24" t="n">
        <x:v>11.2</x:v>
      </x:c>
      <x:c r="G591" s="24" t="n">
        <x:f>E591-F591</x:f>
        <x:v>2.8000000000000007</x:v>
      </x:c>
      <x:c r="H591" s="24" t="n">
        <x:f>ABS(G591)</x:f>
        <x:v>2.8000000000000007</x:v>
      </x:c>
      <x:c r="I591" s="24" t="n">
        <x:f>G591^2</x:f>
        <x:v>7.840000000000004</x:v>
      </x:c>
    </x:row>
    <x:row r="592">
      <x:c r="A592" t="str">
        <x:v>C083</x:v>
      </x:c>
      <x:c r="B592" t="str">
        <x:v>P083</x:v>
      </x:c>
      <x:c r="C592" t="str">
        <x:v>DE_HH_2020</x:v>
      </x:c>
      <x:c r="D592" t="str">
        <x:v>SPD</x:v>
      </x:c>
      <x:c r="E592" s="24" t="n">
        <x:v>33</x:v>
      </x:c>
      <x:c r="F592" s="24" t="n">
        <x:v>39</x:v>
      </x:c>
      <x:c r="G592" s="24" t="n">
        <x:f>E592-F592</x:f>
        <x:v>-6</x:v>
      </x:c>
      <x:c r="H592" s="24" t="n">
        <x:f>ABS(G592)</x:f>
        <x:v>6</x:v>
      </x:c>
      <x:c r="I592" s="24" t="n">
        <x:f>G592^2</x:f>
        <x:v>36</x:v>
      </x:c>
    </x:row>
    <x:row r="593">
      <x:c r="A593" t="str">
        <x:v>C083</x:v>
      </x:c>
      <x:c r="B593" t="str">
        <x:v>P083</x:v>
      </x:c>
      <x:c r="C593" t="str">
        <x:v>DE_HH_2020</x:v>
      </x:c>
      <x:c r="D593" t="str">
        <x:v>GRÜNE</x:v>
      </x:c>
      <x:c r="E593" s="24" t="n">
        <x:v>24</x:v>
      </x:c>
      <x:c r="F593" s="24" t="n">
        <x:v>24.2</x:v>
      </x:c>
      <x:c r="G593" s="24" t="n">
        <x:f>E593-F593</x:f>
        <x:v>-0.1999999999999993</x:v>
      </x:c>
      <x:c r="H593" s="24" t="n">
        <x:f>ABS(G593)</x:f>
        <x:v>0.1999999999999993</x:v>
      </x:c>
      <x:c r="I593" s="24" t="n">
        <x:f>G593^2</x:f>
        <x:v>0.039999999999999716</x:v>
      </x:c>
    </x:row>
    <x:row r="594">
      <x:c r="A594" t="str">
        <x:v>C083</x:v>
      </x:c>
      <x:c r="B594" t="str">
        <x:v>P083</x:v>
      </x:c>
      <x:c r="C594" t="str">
        <x:v>DE_HH_2020</x:v>
      </x:c>
      <x:c r="D594" t="str">
        <x:v>FDP</x:v>
      </x:c>
      <x:c r="E594" s="24" t="n">
        <x:v>7</x:v>
      </x:c>
      <x:c r="F594" s="24" t="n">
        <x:v>5</x:v>
      </x:c>
      <x:c r="G594" s="24" t="n">
        <x:f>E594-F594</x:f>
        <x:v>2</x:v>
      </x:c>
      <x:c r="H594" s="24" t="n">
        <x:f>ABS(G594)</x:f>
        <x:v>2</x:v>
      </x:c>
      <x:c r="I594" s="24" t="n">
        <x:f>G594^2</x:f>
        <x:v>4</x:v>
      </x:c>
    </x:row>
    <x:row r="595">
      <x:c r="A595" t="str">
        <x:v>C083</x:v>
      </x:c>
      <x:c r="B595" t="str">
        <x:v>P083</x:v>
      </x:c>
      <x:c r="C595" t="str">
        <x:v>DE_HH_2020</x:v>
      </x:c>
      <x:c r="D595" t="str">
        <x:v>LINKE</x:v>
      </x:c>
      <x:c r="E595" s="24" t="n">
        <x:v>10</x:v>
      </x:c>
      <x:c r="F595" s="24" t="n">
        <x:v>9.1</x:v>
      </x:c>
      <x:c r="G595" s="24" t="n">
        <x:f>E595-F595</x:f>
        <x:v>0.9000000000000004</x:v>
      </x:c>
      <x:c r="H595" s="24" t="n">
        <x:f>ABS(G595)</x:f>
        <x:v>0.9000000000000004</x:v>
      </x:c>
      <x:c r="I595" s="24" t="n">
        <x:f>G595^2</x:f>
        <x:v>0.8100000000000006</x:v>
      </x:c>
    </x:row>
    <x:row r="596">
      <x:c r="A596" t="str">
        <x:v>C083</x:v>
      </x:c>
      <x:c r="B596" t="str">
        <x:v>P083</x:v>
      </x:c>
      <x:c r="C596" t="str">
        <x:v>DE_HH_2020</x:v>
      </x:c>
      <x:c r="D596" t="str">
        <x:v>AfD</x:v>
      </x:c>
      <x:c r="E596" s="24" t="n">
        <x:v>7</x:v>
      </x:c>
      <x:c r="F596" s="24" t="n">
        <x:v>5.3</x:v>
      </x:c>
      <x:c r="G596" s="24" t="n">
        <x:f>E596-F596</x:f>
        <x:v>1.7000000000000002</x:v>
      </x:c>
      <x:c r="H596" s="24" t="n">
        <x:f>ABS(G596)</x:f>
        <x:v>1.7000000000000002</x:v>
      </x:c>
      <x:c r="I596" s="24" t="n">
        <x:f>G596^2</x:f>
        <x:v>2.8900000000000006</x:v>
      </x:c>
    </x:row>
    <x:row r="597">
      <x:c r="A597" t="str">
        <x:v>C083</x:v>
      </x:c>
      <x:c r="B597" t="str">
        <x:v>P083</x:v>
      </x:c>
      <x:c r="C597" t="str">
        <x:v>DE_HH_2020</x:v>
      </x:c>
      <x:c r="D597" t="str">
        <x:v>Sonstige</x:v>
      </x:c>
      <x:c r="E597" s="24" t="n">
        <x:v>5</x:v>
      </x:c>
      <x:c r="F597" s="24" t="n">
        <x:v>6.2</x:v>
      </x:c>
      <x:c r="G597" s="24" t="n">
        <x:f>E597-F597</x:f>
        <x:v>-1.2000000000000002</x:v>
      </x:c>
      <x:c r="H597" s="24" t="n">
        <x:f>ABS(G597)</x:f>
        <x:v>1.2000000000000002</x:v>
      </x:c>
      <x:c r="I597" s="24" t="n">
        <x:f>G597^2</x:f>
        <x:v>1.4400000000000004</x:v>
      </x:c>
    </x:row>
    <x:row r="598">
      <x:c r="E598" s="24"/>
      <x:c r="F598" s="24"/>
      <x:c r="G598" s="24"/>
      <x:c r="H598" s="24"/>
      <x:c r="I598" s="24"/>
    </x:row>
    <x:row r="599">
      <x:c r="E599" s="24"/>
      <x:c r="F599" s="24"/>
      <x:c r="G599" s="24"/>
      <x:c r="H599" s="24"/>
      <x:c r="I599" s="24"/>
    </x:row>
    <x:row r="600">
      <x:c r="E600" s="24"/>
      <x:c r="F600" s="24"/>
      <x:c r="G600" s="24"/>
      <x:c r="H600" s="24"/>
      <x:c r="I600" s="24"/>
    </x:row>
    <x:row r="601">
      <x:c r="E601" s="24"/>
      <x:c r="F601" s="24"/>
      <x:c r="G601" s="24"/>
      <x:c r="H601" s="24"/>
      <x:c r="I601" s="24"/>
    </x:row>
    <x:row r="602">
      <x:c r="E602" s="24"/>
      <x:c r="F602" s="24"/>
      <x:c r="G602" s="24"/>
      <x:c r="H602" s="24"/>
      <x:c r="I602" s="24"/>
    </x:row>
    <x:row r="603">
      <x:c r="E603" s="24"/>
      <x:c r="F603" s="24"/>
      <x:c r="G603" s="24"/>
      <x:c r="H603" s="24"/>
      <x:c r="I603" s="24"/>
    </x:row>
    <x:row r="604">
      <x:c r="E604" s="24"/>
      <x:c r="F604" s="24"/>
      <x:c r="G604" s="24"/>
      <x:c r="H604" s="24"/>
      <x:c r="I604" s="24"/>
    </x:row>
    <x:row r="605">
      <x:c r="E605" s="24"/>
      <x:c r="F605" s="24"/>
      <x:c r="G605" s="24"/>
      <x:c r="H605" s="24"/>
      <x:c r="I605" s="24"/>
    </x:row>
    <x:row r="606">
      <x:c r="E606" s="24"/>
      <x:c r="F606" s="24"/>
      <x:c r="G606" s="24"/>
      <x:c r="H606" s="24"/>
      <x:c r="I606" s="24"/>
    </x:row>
    <x:row r="607">
      <x:c r="E607" s="24"/>
      <x:c r="F607" s="24"/>
      <x:c r="G607" s="24"/>
      <x:c r="H607" s="24"/>
      <x:c r="I607" s="24"/>
    </x:row>
    <x:row r="608">
      <x:c r="E608" s="24"/>
      <x:c r="F608" s="24"/>
      <x:c r="G608" s="24"/>
      <x:c r="H608" s="24"/>
      <x:c r="I608" s="24"/>
    </x:row>
    <x:row r="609">
      <x:c r="E609" s="24"/>
      <x:c r="F609" s="24"/>
      <x:c r="G609" s="24"/>
      <x:c r="H609" s="24"/>
      <x:c r="I609" s="24"/>
    </x:row>
    <x:row r="610">
      <x:c r="E610" s="24"/>
      <x:c r="F610" s="24"/>
      <x:c r="G610" s="24"/>
      <x:c r="H610" s="24"/>
      <x:c r="I610" s="24"/>
    </x:row>
    <x:row r="611">
      <x:c r="E611" s="24"/>
      <x:c r="F611" s="24"/>
      <x:c r="G611" s="24"/>
      <x:c r="H611" s="24"/>
      <x:c r="I611" s="24"/>
    </x:row>
    <x:row r="612">
      <x:c r="E612" s="24"/>
      <x:c r="F612" s="24"/>
      <x:c r="G612" s="24"/>
      <x:c r="H612" s="24"/>
      <x:c r="I612" s="24"/>
    </x:row>
    <x:row r="613">
      <x:c r="E613" s="24"/>
      <x:c r="F613" s="24"/>
      <x:c r="G613" s="24"/>
      <x:c r="H613" s="24"/>
      <x:c r="I613" s="24"/>
    </x:row>
    <x:row r="614">
      <x:c r="E614" s="24"/>
      <x:c r="F614" s="24"/>
      <x:c r="G614" s="24"/>
      <x:c r="H614" s="24"/>
      <x:c r="I614" s="24"/>
    </x:row>
    <x:row r="615">
      <x:c r="E615" s="24"/>
      <x:c r="F615" s="24"/>
      <x:c r="G615" s="24"/>
      <x:c r="H615" s="24"/>
      <x:c r="I615" s="24"/>
    </x:row>
    <x:row r="616">
      <x:c r="E616" s="24"/>
      <x:c r="F616" s="24"/>
      <x:c r="G616" s="24"/>
      <x:c r="H616" s="24"/>
      <x:c r="I616" s="24"/>
    </x:row>
    <x:row r="617">
      <x:c r="E617" s="24"/>
      <x:c r="F617" s="24"/>
      <x:c r="G617" s="24"/>
      <x:c r="H617" s="24"/>
      <x:c r="I617" s="24"/>
    </x:row>
    <x:row r="618">
      <x:c r="E618" s="24"/>
      <x:c r="F618" s="24"/>
      <x:c r="G618" s="24"/>
      <x:c r="H618" s="24"/>
      <x:c r="I618" s="24"/>
    </x:row>
    <x:row r="619">
      <x:c r="E619" s="24"/>
      <x:c r="F619" s="24"/>
      <x:c r="G619" s="24"/>
      <x:c r="H619" s="24"/>
      <x:c r="I619" s="24"/>
    </x:row>
    <x:row r="620">
      <x:c r="E620" s="24"/>
      <x:c r="F620" s="24"/>
      <x:c r="G620" s="24"/>
      <x:c r="H620" s="24"/>
      <x:c r="I620" s="24"/>
    </x:row>
    <x:row r="621">
      <x:c r="E621" s="24"/>
      <x:c r="F621" s="24"/>
      <x:c r="G621" s="24"/>
      <x:c r="H621" s="24"/>
      <x:c r="I621" s="24"/>
    </x:row>
    <x:row r="622">
      <x:c r="E622" s="24"/>
      <x:c r="F622" s="24"/>
      <x:c r="G622" s="24"/>
      <x:c r="H622" s="24"/>
      <x:c r="I622" s="24"/>
    </x:row>
    <x:row r="623">
      <x:c r="E623" s="24"/>
      <x:c r="F623" s="24"/>
      <x:c r="G623" s="24"/>
      <x:c r="H623" s="24"/>
      <x:c r="I623" s="24"/>
    </x:row>
    <x:row r="624">
      <x:c r="E624" s="24"/>
      <x:c r="F624" s="24"/>
      <x:c r="G624" s="24"/>
      <x:c r="H624" s="24"/>
      <x:c r="I624" s="24"/>
    </x:row>
    <x:row r="625">
      <x:c r="E625" s="24"/>
      <x:c r="F625" s="24"/>
      <x:c r="G625" s="24"/>
      <x:c r="H625" s="24"/>
      <x:c r="I625" s="24"/>
    </x:row>
    <x:row r="626">
      <x:c r="E626" s="24"/>
      <x:c r="F626" s="24"/>
      <x:c r="G626" s="24"/>
      <x:c r="H626" s="24"/>
      <x:c r="I626" s="24"/>
    </x:row>
    <x:row r="627">
      <x:c r="E627" s="24"/>
      <x:c r="F627" s="24"/>
      <x:c r="G627" s="24"/>
      <x:c r="H627" s="24"/>
      <x:c r="I627" s="24"/>
    </x:row>
    <x:row r="628">
      <x:c r="E628" s="24"/>
      <x:c r="F628" s="24"/>
      <x:c r="G628" s="24"/>
      <x:c r="H628" s="24"/>
      <x:c r="I628" s="24"/>
    </x:row>
    <x:row r="629">
      <x:c r="E629" s="24"/>
      <x:c r="F629" s="24"/>
      <x:c r="G629" s="24"/>
      <x:c r="H629" s="24"/>
      <x:c r="I629" s="24"/>
    </x:row>
    <x:row r="630">
      <x:c r="E630" s="24"/>
      <x:c r="F630" s="24"/>
      <x:c r="G630" s="24"/>
      <x:c r="H630" s="24"/>
      <x:c r="I630" s="24"/>
    </x:row>
    <x:row r="631">
      <x:c r="E631" s="24"/>
      <x:c r="F631" s="24"/>
      <x:c r="G631" s="24"/>
      <x:c r="H631" s="24"/>
      <x:c r="I631" s="24"/>
    </x:row>
    <x:row r="632">
      <x:c r="E632" s="24"/>
      <x:c r="F632" s="24"/>
      <x:c r="G632" s="24"/>
      <x:c r="H632" s="24"/>
      <x:c r="I632" s="24"/>
    </x:row>
    <x:row r="633">
      <x:c r="E633" s="24"/>
      <x:c r="F633" s="24"/>
      <x:c r="G633" s="24"/>
      <x:c r="H633" s="24"/>
      <x:c r="I633" s="24"/>
    </x:row>
    <x:row r="634">
      <x:c r="E634" s="24"/>
      <x:c r="F634" s="24"/>
      <x:c r="G634" s="24"/>
      <x:c r="H634" s="24"/>
      <x:c r="I634" s="24"/>
    </x:row>
    <x:row r="635">
      <x:c r="E635" s="24"/>
      <x:c r="F635" s="24"/>
      <x:c r="G635" s="24"/>
      <x:c r="H635" s="24"/>
      <x:c r="I635" s="24"/>
    </x:row>
    <x:row r="636">
      <x:c r="E636" s="24"/>
      <x:c r="F636" s="24"/>
      <x:c r="G636" s="24"/>
      <x:c r="H636" s="24"/>
      <x:c r="I636" s="24"/>
    </x:row>
    <x:row r="637">
      <x:c r="E637" s="24"/>
      <x:c r="F637" s="24"/>
      <x:c r="G637" s="24"/>
      <x:c r="H637" s="24"/>
      <x:c r="I637" s="24"/>
    </x:row>
    <x:row r="638">
      <x:c r="E638" s="24"/>
      <x:c r="F638" s="24"/>
      <x:c r="G638" s="24"/>
      <x:c r="H638" s="24"/>
      <x:c r="I638" s="24"/>
    </x:row>
    <x:row r="639">
      <x:c r="E639" s="24"/>
      <x:c r="F639" s="24"/>
      <x:c r="G639" s="24"/>
      <x:c r="H639" s="24"/>
      <x:c r="I639" s="24"/>
    </x:row>
    <x:row r="640">
      <x:c r="E640" s="24"/>
      <x:c r="F640" s="24"/>
      <x:c r="G640" s="24"/>
      <x:c r="H640" s="24"/>
      <x:c r="I640" s="24"/>
    </x:row>
    <x:row r="641">
      <x:c r="E641" s="24"/>
      <x:c r="F641" s="24"/>
      <x:c r="G641" s="24"/>
      <x:c r="H641" s="24"/>
      <x:c r="I641" s="24"/>
    </x:row>
    <x:row r="642">
      <x:c r="E642" s="24"/>
      <x:c r="F642" s="24"/>
      <x:c r="G642" s="24"/>
      <x:c r="H642" s="24"/>
      <x:c r="I642" s="24"/>
    </x:row>
    <x:row r="643">
      <x:c r="E643" s="24"/>
      <x:c r="F643" s="24"/>
      <x:c r="G643" s="24"/>
      <x:c r="H643" s="24"/>
      <x:c r="I643" s="24"/>
    </x:row>
    <x:row r="644">
      <x:c r="E644" s="24"/>
      <x:c r="F644" s="24"/>
      <x:c r="G644" s="24"/>
      <x:c r="H644" s="24"/>
      <x:c r="I644" s="24"/>
    </x:row>
    <x:row r="645">
      <x:c r="E645" s="24"/>
      <x:c r="F645" s="24"/>
      <x:c r="G645" s="24"/>
      <x:c r="H645" s="24"/>
      <x:c r="I645" s="24"/>
    </x:row>
    <x:row r="646">
      <x:c r="E646" s="24"/>
      <x:c r="F646" s="24"/>
      <x:c r="G646" s="24"/>
      <x:c r="H646" s="24"/>
      <x:c r="I646" s="24"/>
    </x:row>
    <x:row r="647">
      <x:c r="E647" s="24"/>
      <x:c r="F647" s="24"/>
      <x:c r="G647" s="24"/>
      <x:c r="H647" s="24"/>
      <x:c r="I647" s="24"/>
    </x:row>
    <x:row r="648">
      <x:c r="E648" s="24"/>
      <x:c r="F648" s="24"/>
      <x:c r="G648" s="24"/>
      <x:c r="H648" s="24"/>
      <x:c r="I648" s="24"/>
    </x:row>
    <x:row r="649">
      <x:c r="E649" s="24"/>
      <x:c r="F649" s="24"/>
      <x:c r="G649" s="24"/>
      <x:c r="H649" s="24"/>
      <x:c r="I649" s="24"/>
    </x:row>
    <x:row r="650">
      <x:c r="E650" s="24"/>
      <x:c r="F650" s="24"/>
      <x:c r="G650" s="24"/>
      <x:c r="H650" s="24"/>
      <x:c r="I650" s="24"/>
    </x:row>
    <x:row r="651">
      <x:c r="E651" s="24"/>
      <x:c r="F651" s="24"/>
      <x:c r="G651" s="24"/>
      <x:c r="H651" s="24"/>
      <x:c r="I651" s="24"/>
    </x:row>
    <x:row r="652">
      <x:c r="E652" s="24"/>
      <x:c r="F652" s="24"/>
      <x:c r="G652" s="24"/>
      <x:c r="H652" s="24"/>
      <x:c r="I652" s="24"/>
    </x:row>
    <x:row r="653">
      <x:c r="E653" s="24"/>
      <x:c r="F653" s="24"/>
      <x:c r="G653" s="24"/>
      <x:c r="H653" s="24"/>
      <x:c r="I653" s="24"/>
    </x:row>
    <x:row r="654">
      <x:c r="E654" s="24"/>
      <x:c r="F654" s="24"/>
      <x:c r="G654" s="24"/>
      <x:c r="H654" s="24"/>
      <x:c r="I654" s="24"/>
    </x:row>
    <x:row r="655">
      <x:c r="E655" s="24"/>
      <x:c r="F655" s="24"/>
      <x:c r="G655" s="24"/>
      <x:c r="H655" s="24"/>
      <x:c r="I655" s="24"/>
    </x:row>
    <x:row r="656">
      <x:c r="E656" s="24"/>
      <x:c r="F656" s="24"/>
      <x:c r="G656" s="24"/>
      <x:c r="H656" s="24"/>
      <x:c r="I656" s="24"/>
    </x:row>
    <x:row r="657">
      <x:c r="E657" s="24"/>
      <x:c r="F657" s="24"/>
      <x:c r="G657" s="24"/>
      <x:c r="H657" s="24"/>
      <x:c r="I657" s="24"/>
    </x:row>
    <x:row r="658">
      <x:c r="E658" s="24"/>
      <x:c r="F658" s="24"/>
      <x:c r="G658" s="24"/>
      <x:c r="H658" s="24"/>
      <x:c r="I658" s="24"/>
    </x:row>
    <x:row r="659">
      <x:c r="E659" s="24"/>
      <x:c r="F659" s="24"/>
      <x:c r="G659" s="24"/>
      <x:c r="H659" s="24"/>
      <x:c r="I659" s="24"/>
    </x:row>
    <x:row r="660">
      <x:c r="E660" s="24"/>
      <x:c r="F660" s="24"/>
      <x:c r="G660" s="24"/>
      <x:c r="H660" s="24"/>
      <x:c r="I660" s="24"/>
    </x:row>
    <x:row r="661">
      <x:c r="E661" s="24"/>
      <x:c r="F661" s="24"/>
      <x:c r="G661" s="24"/>
      <x:c r="H661" s="24"/>
      <x:c r="I661" s="24"/>
    </x:row>
    <x:row r="662">
      <x:c r="E662" s="24"/>
      <x:c r="F662" s="24"/>
      <x:c r="G662" s="24"/>
      <x:c r="H662" s="24"/>
      <x:c r="I662" s="24"/>
    </x:row>
    <x:row r="663">
      <x:c r="E663" s="24"/>
      <x:c r="F663" s="24"/>
      <x:c r="G663" s="24"/>
      <x:c r="H663" s="24"/>
      <x:c r="I663" s="24"/>
    </x:row>
    <x:row r="664">
      <x:c r="E664" s="24"/>
      <x:c r="F664" s="24"/>
      <x:c r="G664" s="24"/>
      <x:c r="H664" s="24"/>
      <x:c r="I664" s="24"/>
    </x:row>
    <x:row r="665">
      <x:c r="E665" s="24"/>
      <x:c r="F665" s="24"/>
      <x:c r="G665" s="24"/>
      <x:c r="H665" s="24"/>
      <x:c r="I665" s="24"/>
    </x:row>
    <x:row r="666">
      <x:c r="E666" s="24"/>
      <x:c r="F666" s="24"/>
      <x:c r="G666" s="24"/>
      <x:c r="H666" s="24"/>
      <x:c r="I666" s="24"/>
    </x:row>
    <x:row r="667">
      <x:c r="E667" s="24"/>
      <x:c r="F667" s="24"/>
      <x:c r="G667" s="24"/>
      <x:c r="H667" s="24"/>
      <x:c r="I667" s="24"/>
    </x:row>
    <x:row r="668">
      <x:c r="E668" s="24"/>
      <x:c r="F668" s="24"/>
      <x:c r="G668" s="24"/>
      <x:c r="H668" s="24"/>
      <x:c r="I668" s="24"/>
    </x:row>
    <x:row r="669">
      <x:c r="E669" s="24"/>
      <x:c r="F669" s="24"/>
      <x:c r="G669" s="24"/>
      <x:c r="H669" s="24"/>
      <x:c r="I669" s="24"/>
    </x:row>
    <x:row r="670">
      <x:c r="E670" s="24"/>
      <x:c r="F670" s="24"/>
      <x:c r="G670" s="24"/>
      <x:c r="H670" s="24"/>
      <x:c r="I670" s="24"/>
    </x:row>
    <x:row r="671">
      <x:c r="E671" s="24"/>
      <x:c r="F671" s="24"/>
      <x:c r="G671" s="24"/>
      <x:c r="H671" s="24"/>
      <x:c r="I671" s="24"/>
    </x:row>
    <x:row r="672">
      <x:c r="E672" s="24"/>
      <x:c r="F672" s="24"/>
      <x:c r="G672" s="24"/>
      <x:c r="H672" s="24"/>
      <x:c r="I672" s="24"/>
    </x:row>
    <x:row r="673">
      <x:c r="E673" s="24"/>
      <x:c r="F673" s="24"/>
      <x:c r="G673" s="24"/>
      <x:c r="H673" s="24"/>
      <x:c r="I673" s="24"/>
    </x:row>
    <x:row r="674">
      <x:c r="E674" s="24"/>
      <x:c r="F674" s="24"/>
      <x:c r="G674" s="24"/>
      <x:c r="H674" s="24"/>
      <x:c r="I674" s="24"/>
    </x:row>
    <x:row r="675">
      <x:c r="E675" s="24"/>
      <x:c r="F675" s="24"/>
      <x:c r="G675" s="24"/>
      <x:c r="H675" s="24"/>
      <x:c r="I675" s="24"/>
    </x:row>
    <x:row r="676">
      <x:c r="E676" s="24"/>
      <x:c r="F676" s="24"/>
      <x:c r="G676" s="24"/>
      <x:c r="H676" s="24"/>
      <x:c r="I676" s="24"/>
    </x:row>
    <x:row r="677">
      <x:c r="E677" s="24"/>
      <x:c r="F677" s="24"/>
      <x:c r="G677" s="24"/>
      <x:c r="H677" s="24"/>
      <x:c r="I677" s="24"/>
    </x:row>
    <x:row r="678">
      <x:c r="E678" s="24"/>
      <x:c r="F678" s="24"/>
      <x:c r="G678" s="24"/>
      <x:c r="H678" s="24"/>
      <x:c r="I678" s="24"/>
    </x:row>
    <x:row r="679">
      <x:c r="E679" s="24"/>
      <x:c r="F679" s="24"/>
      <x:c r="G679" s="24"/>
      <x:c r="H679" s="24"/>
      <x:c r="I679" s="24"/>
    </x:row>
    <x:row r="680">
      <x:c r="E680" s="24"/>
      <x:c r="F680" s="24"/>
      <x:c r="G680" s="24"/>
      <x:c r="H680" s="24"/>
      <x:c r="I680" s="24"/>
    </x:row>
    <x:row r="681">
      <x:c r="E681" s="24"/>
      <x:c r="F681" s="24"/>
      <x:c r="G681" s="24"/>
      <x:c r="H681" s="24"/>
      <x:c r="I681" s="24"/>
    </x:row>
    <x:row r="682">
      <x:c r="E682" s="24"/>
      <x:c r="F682" s="24"/>
      <x:c r="G682" s="24"/>
      <x:c r="H682" s="24"/>
      <x:c r="I682" s="24"/>
    </x:row>
    <x:row r="683">
      <x:c r="E683" s="24"/>
      <x:c r="F683" s="24"/>
      <x:c r="G683" s="24"/>
      <x:c r="H683" s="24"/>
      <x:c r="I683" s="24"/>
    </x:row>
    <x:row r="684">
      <x:c r="E684" s="24"/>
      <x:c r="F684" s="24"/>
      <x:c r="G684" s="24"/>
      <x:c r="H684" s="24"/>
      <x:c r="I684" s="24"/>
    </x:row>
    <x:row r="685">
      <x:c r="E685" s="24"/>
      <x:c r="F685" s="24"/>
      <x:c r="G685" s="24"/>
      <x:c r="H685" s="24"/>
      <x:c r="I685" s="24"/>
    </x:row>
    <x:row r="686">
      <x:c r="E686" s="24"/>
      <x:c r="F686" s="24"/>
      <x:c r="G686" s="24"/>
      <x:c r="H686" s="24"/>
      <x:c r="I686" s="24"/>
    </x:row>
    <x:row r="687">
      <x:c r="E687" s="24"/>
      <x:c r="F687" s="24"/>
      <x:c r="G687" s="24"/>
      <x:c r="H687" s="24"/>
      <x:c r="I687" s="24"/>
    </x:row>
    <x:row r="688">
      <x:c r="E688" s="24"/>
      <x:c r="F688" s="24"/>
      <x:c r="G688" s="24"/>
      <x:c r="H688" s="24"/>
      <x:c r="I688" s="24"/>
    </x:row>
    <x:row r="689">
      <x:c r="E689" s="24"/>
      <x:c r="F689" s="24"/>
      <x:c r="G689" s="24"/>
      <x:c r="H689" s="24"/>
      <x:c r="I689" s="24"/>
    </x:row>
    <x:row r="690">
      <x:c r="E690" s="24"/>
      <x:c r="F690" s="24"/>
      <x:c r="G690" s="24"/>
      <x:c r="H690" s="24"/>
      <x:c r="I690" s="24"/>
    </x:row>
    <x:row r="691">
      <x:c r="E691" s="24"/>
      <x:c r="F691" s="24"/>
      <x:c r="G691" s="24"/>
      <x:c r="H691" s="24"/>
      <x:c r="I691" s="24"/>
    </x:row>
    <x:row r="692">
      <x:c r="E692" s="24"/>
      <x:c r="F692" s="24"/>
      <x:c r="G692" s="24"/>
      <x:c r="H692" s="24"/>
      <x:c r="I692" s="24"/>
    </x:row>
    <x:row r="693">
      <x:c r="E693" s="24"/>
      <x:c r="F693" s="24"/>
      <x:c r="G693" s="24"/>
      <x:c r="H693" s="24"/>
      <x:c r="I693" s="24"/>
    </x:row>
    <x:row r="694">
      <x:c r="E694" s="24"/>
      <x:c r="F694" s="24"/>
      <x:c r="G694" s="24"/>
      <x:c r="H694" s="24"/>
      <x:c r="I694" s="24"/>
    </x:row>
    <x:row r="695">
      <x:c r="E695" s="24"/>
      <x:c r="F695" s="24"/>
      <x:c r="G695" s="24"/>
      <x:c r="H695" s="24"/>
      <x:c r="I695" s="24"/>
    </x:row>
    <x:row r="696">
      <x:c r="E696" s="24"/>
      <x:c r="F696" s="24"/>
      <x:c r="G696" s="24"/>
      <x:c r="H696" s="24"/>
      <x:c r="I696" s="24"/>
    </x:row>
    <x:row r="697">
      <x:c r="E697" s="24"/>
      <x:c r="F697" s="24"/>
      <x:c r="G697" s="24"/>
      <x:c r="H697" s="24"/>
      <x:c r="I697" s="24"/>
    </x:row>
    <x:row r="698">
      <x:c r="E698" s="24"/>
      <x:c r="F698" s="24"/>
      <x:c r="G698" s="24"/>
      <x:c r="H698" s="24"/>
      <x:c r="I698" s="24"/>
    </x:row>
    <x:row r="699">
      <x:c r="E699" s="24"/>
      <x:c r="F699" s="24"/>
      <x:c r="G699" s="24"/>
      <x:c r="H699" s="24"/>
      <x:c r="I699" s="24"/>
    </x:row>
    <x:row r="700">
      <x:c r="E700" s="24"/>
      <x:c r="F700" s="24"/>
      <x:c r="G700" s="24"/>
      <x:c r="H700" s="24"/>
      <x:c r="I700" s="24"/>
    </x:row>
    <x:row r="701">
      <x:c r="E701" s="24"/>
      <x:c r="F701" s="24"/>
      <x:c r="G701" s="24"/>
      <x:c r="H701" s="24"/>
      <x:c r="I701" s="24"/>
    </x:row>
    <x:row r="702">
      <x:c r="E702" s="24"/>
      <x:c r="F702" s="24"/>
      <x:c r="G702" s="24"/>
      <x:c r="H702" s="24"/>
      <x:c r="I702" s="24"/>
    </x:row>
    <x:row r="703">
      <x:c r="E703" s="24"/>
      <x:c r="F703" s="24"/>
      <x:c r="G703" s="24"/>
      <x:c r="H703" s="24"/>
      <x:c r="I703" s="24"/>
    </x:row>
    <x:row r="704">
      <x:c r="E704" s="24"/>
      <x:c r="F704" s="24"/>
      <x:c r="G704" s="24"/>
      <x:c r="H704" s="24"/>
      <x:c r="I704" s="24"/>
    </x:row>
    <x:row r="705">
      <x:c r="E705" s="24"/>
      <x:c r="F705" s="24"/>
      <x:c r="G705" s="24"/>
      <x:c r="H705" s="24"/>
      <x:c r="I705" s="24"/>
    </x:row>
    <x:row r="706">
      <x:c r="E706" s="24"/>
      <x:c r="F706" s="24"/>
      <x:c r="G706" s="24"/>
      <x:c r="H706" s="24"/>
      <x:c r="I706" s="24"/>
    </x:row>
    <x:row r="707">
      <x:c r="E707" s="24"/>
      <x:c r="F707" s="24"/>
      <x:c r="G707" s="24"/>
      <x:c r="H707" s="24"/>
      <x:c r="I707" s="24"/>
    </x:row>
    <x:row r="708">
      <x:c r="E708" s="24"/>
      <x:c r="F708" s="24"/>
      <x:c r="G708" s="24"/>
      <x:c r="H708" s="24"/>
      <x:c r="I708" s="24"/>
    </x:row>
    <x:row r="709">
      <x:c r="E709" s="24"/>
      <x:c r="F709" s="24"/>
      <x:c r="G709" s="24"/>
      <x:c r="H709" s="24"/>
      <x:c r="I709" s="24"/>
    </x:row>
    <x:row r="710">
      <x:c r="E710" s="24"/>
      <x:c r="F710" s="24"/>
      <x:c r="G710" s="24"/>
      <x:c r="H710" s="24"/>
      <x:c r="I710" s="24"/>
    </x:row>
    <x:row r="711">
      <x:c r="E711" s="24"/>
      <x:c r="F711" s="24"/>
      <x:c r="G711" s="24"/>
      <x:c r="H711" s="24"/>
      <x:c r="I711" s="24"/>
    </x:row>
    <x:row r="712">
      <x:c r="E712" s="24"/>
      <x:c r="F712" s="24"/>
      <x:c r="G712" s="24"/>
      <x:c r="H712" s="24"/>
      <x:c r="I712" s="24"/>
    </x:row>
    <x:row r="713">
      <x:c r="E713" s="24"/>
      <x:c r="F713" s="24"/>
      <x:c r="G713" s="24"/>
      <x:c r="H713" s="24"/>
      <x:c r="I713" s="24"/>
    </x:row>
    <x:row r="714">
      <x:c r="E714" s="24"/>
      <x:c r="F714" s="24"/>
      <x:c r="G714" s="24"/>
      <x:c r="H714" s="24"/>
      <x:c r="I714" s="24"/>
    </x:row>
    <x:row r="715">
      <x:c r="E715" s="24"/>
      <x:c r="F715" s="24"/>
      <x:c r="G715" s="24"/>
      <x:c r="H715" s="24"/>
      <x:c r="I715" s="24"/>
    </x:row>
    <x:row r="716">
      <x:c r="E716" s="24"/>
      <x:c r="F716" s="24"/>
      <x:c r="G716" s="24"/>
      <x:c r="H716" s="24"/>
      <x:c r="I716" s="24"/>
    </x:row>
    <x:row r="717">
      <x:c r="E717" s="24"/>
      <x:c r="F717" s="24"/>
      <x:c r="G717" s="24"/>
      <x:c r="H717" s="24"/>
      <x:c r="I717" s="24"/>
    </x:row>
    <x:row r="718">
      <x:c r="E718" s="24"/>
      <x:c r="F718" s="24"/>
      <x:c r="G718" s="24"/>
      <x:c r="H718" s="24"/>
      <x:c r="I718" s="24"/>
    </x:row>
    <x:row r="719">
      <x:c r="E719" s="24"/>
      <x:c r="F719" s="24"/>
      <x:c r="G719" s="24"/>
      <x:c r="H719" s="24"/>
      <x:c r="I719" s="24"/>
    </x:row>
    <x:row r="720">
      <x:c r="E720" s="24"/>
      <x:c r="F720" s="24"/>
      <x:c r="G720" s="24"/>
      <x:c r="H720" s="24"/>
      <x:c r="I720" s="24"/>
    </x:row>
    <x:row r="721">
      <x:c r="E721" s="24"/>
      <x:c r="F721" s="24"/>
      <x:c r="G721" s="24"/>
      <x:c r="H721" s="24"/>
      <x:c r="I721" s="24"/>
    </x:row>
    <x:row r="722">
      <x:c r="E722" s="24"/>
      <x:c r="F722" s="24"/>
      <x:c r="G722" s="24"/>
      <x:c r="H722" s="24"/>
      <x:c r="I722" s="24"/>
    </x:row>
    <x:row r="723">
      <x:c r="E723" s="24"/>
      <x:c r="F723" s="24"/>
      <x:c r="G723" s="24"/>
      <x:c r="H723" s="24"/>
      <x:c r="I723" s="24"/>
    </x:row>
    <x:row r="724">
      <x:c r="E724" s="24"/>
      <x:c r="F724" s="24"/>
      <x:c r="G724" s="24"/>
      <x:c r="H724" s="24"/>
      <x:c r="I724" s="24"/>
    </x:row>
    <x:row r="725">
      <x:c r="E725" s="24"/>
      <x:c r="F725" s="24"/>
      <x:c r="G725" s="24"/>
      <x:c r="H725" s="24"/>
      <x:c r="I725" s="24"/>
    </x:row>
    <x:row r="726">
      <x:c r="E726" s="24"/>
      <x:c r="F726" s="24"/>
      <x:c r="G726" s="24"/>
      <x:c r="H726" s="24"/>
      <x:c r="I726" s="24"/>
    </x:row>
    <x:row r="727">
      <x:c r="E727" s="24"/>
      <x:c r="F727" s="24"/>
      <x:c r="G727" s="24"/>
      <x:c r="H727" s="24"/>
      <x:c r="I727" s="24"/>
    </x:row>
    <x:row r="728">
      <x:c r="E728" s="24"/>
      <x:c r="F728" s="24"/>
      <x:c r="G728" s="24"/>
      <x:c r="H728" s="24"/>
      <x:c r="I728" s="24"/>
    </x:row>
    <x:row r="729">
      <x:c r="E729" s="24"/>
      <x:c r="F729" s="24"/>
      <x:c r="G729" s="24"/>
      <x:c r="H729" s="24"/>
      <x:c r="I729" s="24"/>
    </x:row>
    <x:row r="730">
      <x:c r="E730" s="24"/>
      <x:c r="F730" s="24"/>
      <x:c r="G730" s="24"/>
      <x:c r="H730" s="24"/>
      <x:c r="I730" s="24"/>
    </x:row>
    <x:row r="731">
      <x:c r="E731" s="24"/>
      <x:c r="F731" s="24"/>
      <x:c r="G731" s="24"/>
      <x:c r="H731" s="24"/>
      <x:c r="I731" s="24"/>
    </x:row>
    <x:row r="732">
      <x:c r="E732" s="24"/>
      <x:c r="F732" s="24"/>
      <x:c r="G732" s="24"/>
      <x:c r="H732" s="24"/>
      <x:c r="I732" s="24"/>
    </x:row>
    <x:row r="733">
      <x:c r="E733" s="24"/>
      <x:c r="F733" s="24"/>
      <x:c r="G733" s="24"/>
      <x:c r="H733" s="24"/>
      <x:c r="I733" s="24"/>
    </x:row>
    <x:row r="734">
      <x:c r="E734" s="24"/>
      <x:c r="F734" s="24"/>
      <x:c r="G734" s="24"/>
      <x:c r="H734" s="24"/>
      <x:c r="I734" s="24"/>
    </x:row>
    <x:row r="735">
      <x:c r="E735" s="24"/>
      <x:c r="F735" s="24"/>
      <x:c r="G735" s="24"/>
      <x:c r="H735" s="24"/>
      <x:c r="I735" s="24"/>
    </x:row>
    <x:row r="736">
      <x:c r="E736" s="24"/>
      <x:c r="F736" s="24"/>
      <x:c r="G736" s="24"/>
      <x:c r="H736" s="24"/>
      <x:c r="I736" s="24"/>
    </x:row>
    <x:row r="737">
      <x:c r="E737" s="24"/>
      <x:c r="F737" s="24"/>
      <x:c r="G737" s="24"/>
      <x:c r="H737" s="24"/>
      <x:c r="I737" s="24"/>
    </x:row>
    <x:row r="738">
      <x:c r="E738" s="24"/>
      <x:c r="F738" s="24"/>
      <x:c r="G738" s="24"/>
      <x:c r="H738" s="24"/>
      <x:c r="I738" s="24"/>
    </x:row>
    <x:row r="739">
      <x:c r="E739" s="24"/>
      <x:c r="F739" s="24"/>
      <x:c r="G739" s="24"/>
      <x:c r="H739" s="24"/>
      <x:c r="I739" s="24"/>
    </x:row>
    <x:row r="740">
      <x:c r="E740" s="24"/>
      <x:c r="F740" s="24"/>
      <x:c r="G740" s="24"/>
      <x:c r="H740" s="24"/>
      <x:c r="I740" s="24"/>
    </x:row>
    <x:row r="741">
      <x:c r="E741" s="24"/>
      <x:c r="F741" s="24"/>
      <x:c r="G741" s="24"/>
      <x:c r="H741" s="24"/>
      <x:c r="I741" s="24"/>
    </x:row>
    <x:row r="742">
      <x:c r="E742" s="24"/>
      <x:c r="F742" s="24"/>
      <x:c r="G742" s="24"/>
      <x:c r="H742" s="24"/>
      <x:c r="I742" s="24"/>
    </x:row>
    <x:row r="743">
      <x:c r="E743" s="24"/>
      <x:c r="F743" s="24"/>
      <x:c r="G743" s="24"/>
      <x:c r="H743" s="24"/>
      <x:c r="I743" s="24"/>
    </x:row>
    <x:row r="744">
      <x:c r="E744" s="24"/>
      <x:c r="F744" s="24"/>
      <x:c r="G744" s="24"/>
      <x:c r="H744" s="24"/>
      <x:c r="I744" s="24"/>
    </x:row>
    <x:row r="745">
      <x:c r="E745" s="24"/>
      <x:c r="F745" s="24"/>
      <x:c r="G745" s="24"/>
      <x:c r="H745" s="24"/>
      <x:c r="I745" s="24"/>
    </x:row>
    <x:row r="746">
      <x:c r="E746" s="24"/>
      <x:c r="F746" s="24"/>
      <x:c r="G746" s="24"/>
      <x:c r="H746" s="24"/>
      <x:c r="I746" s="24"/>
    </x:row>
    <x:row r="747">
      <x:c r="E747" s="24"/>
      <x:c r="F747" s="24"/>
      <x:c r="G747" s="24"/>
      <x:c r="H747" s="24"/>
      <x:c r="I747" s="24"/>
    </x:row>
    <x:row r="748">
      <x:c r="E748" s="24"/>
      <x:c r="F748" s="24"/>
      <x:c r="G748" s="24"/>
      <x:c r="H748" s="24"/>
      <x:c r="I748" s="24"/>
    </x:row>
    <x:row r="749">
      <x:c r="E749" s="24"/>
      <x:c r="F749" s="24"/>
      <x:c r="G749" s="24"/>
      <x:c r="H749" s="24"/>
      <x:c r="I749" s="24"/>
    </x:row>
    <x:row r="750">
      <x:c r="E750" s="24"/>
      <x:c r="F750" s="24"/>
      <x:c r="G750" s="24"/>
      <x:c r="H750" s="24"/>
      <x:c r="I750" s="24"/>
    </x:row>
    <x:row r="751">
      <x:c r="E751" s="24"/>
      <x:c r="F751" s="24"/>
      <x:c r="G751" s="24"/>
      <x:c r="H751" s="24"/>
      <x:c r="I751" s="24"/>
    </x:row>
    <x:row r="752">
      <x:c r="E752" s="24"/>
      <x:c r="F752" s="24"/>
      <x:c r="G752" s="24"/>
      <x:c r="H752" s="24"/>
      <x:c r="I752" s="24"/>
    </x:row>
    <x:row r="753">
      <x:c r="E753" s="24"/>
      <x:c r="F753" s="24"/>
      <x:c r="G753" s="24"/>
      <x:c r="H753" s="24"/>
      <x:c r="I753" s="24"/>
    </x:row>
    <x:row r="754">
      <x:c r="E754" s="24"/>
      <x:c r="F754" s="24"/>
      <x:c r="G754" s="24"/>
      <x:c r="H754" s="24"/>
      <x:c r="I754" s="24"/>
    </x:row>
    <x:row r="755">
      <x:c r="E755" s="24"/>
      <x:c r="F755" s="24"/>
      <x:c r="G755" s="24"/>
      <x:c r="H755" s="24"/>
      <x:c r="I755" s="24"/>
    </x:row>
    <x:row r="756">
      <x:c r="E756" s="24"/>
      <x:c r="F756" s="24"/>
      <x:c r="G756" s="24"/>
      <x:c r="H756" s="24"/>
      <x:c r="I756" s="24"/>
    </x:row>
    <x:row r="757">
      <x:c r="E757" s="24"/>
      <x:c r="F757" s="24"/>
      <x:c r="G757" s="24"/>
      <x:c r="H757" s="24"/>
      <x:c r="I757" s="24"/>
    </x:row>
    <x:row r="758">
      <x:c r="E758" s="24"/>
      <x:c r="F758" s="24"/>
      <x:c r="G758" s="24"/>
      <x:c r="H758" s="24"/>
      <x:c r="I758" s="24"/>
    </x:row>
    <x:row r="759">
      <x:c r="E759" s="24"/>
      <x:c r="F759" s="24"/>
      <x:c r="G759" s="24"/>
      <x:c r="H759" s="24"/>
      <x:c r="I759" s="24"/>
    </x:row>
    <x:row r="760">
      <x:c r="E760" s="24"/>
      <x:c r="F760" s="24"/>
      <x:c r="G760" s="24"/>
      <x:c r="H760" s="24"/>
      <x:c r="I760" s="24"/>
    </x:row>
    <x:row r="761">
      <x:c r="E761" s="24"/>
      <x:c r="F761" s="24"/>
      <x:c r="G761" s="24"/>
      <x:c r="H761" s="24"/>
      <x:c r="I761" s="24"/>
    </x:row>
    <x:row r="762">
      <x:c r="E762" s="24"/>
      <x:c r="F762" s="24"/>
      <x:c r="G762" s="24"/>
      <x:c r="H762" s="24"/>
      <x:c r="I762" s="24"/>
    </x:row>
    <x:row r="763">
      <x:c r="E763" s="24"/>
      <x:c r="F763" s="24"/>
      <x:c r="G763" s="24"/>
      <x:c r="H763" s="24"/>
      <x:c r="I763" s="24"/>
    </x:row>
    <x:row r="764">
      <x:c r="E764" s="24"/>
      <x:c r="F764" s="24"/>
      <x:c r="G764" s="24"/>
      <x:c r="H764" s="24"/>
      <x:c r="I764" s="24"/>
    </x:row>
    <x:row r="765">
      <x:c r="E765" s="24"/>
      <x:c r="F765" s="24"/>
      <x:c r="G765" s="24"/>
      <x:c r="H765" s="24"/>
      <x:c r="I765" s="24"/>
    </x:row>
    <x:row r="766">
      <x:c r="E766" s="24"/>
      <x:c r="F766" s="24"/>
      <x:c r="G766" s="24"/>
      <x:c r="H766" s="24"/>
      <x:c r="I766" s="24"/>
    </x:row>
    <x:row r="767">
      <x:c r="E767" s="24"/>
      <x:c r="F767" s="24"/>
      <x:c r="G767" s="24"/>
      <x:c r="H767" s="24"/>
      <x:c r="I767" s="24"/>
    </x:row>
    <x:row r="768">
      <x:c r="E768" s="24"/>
      <x:c r="F768" s="24"/>
      <x:c r="G768" s="24"/>
      <x:c r="H768" s="24"/>
      <x:c r="I768" s="24"/>
    </x:row>
    <x:row r="769">
      <x:c r="E769" s="24"/>
      <x:c r="F769" s="24"/>
      <x:c r="G769" s="24"/>
      <x:c r="H769" s="24"/>
      <x:c r="I769" s="24"/>
    </x:row>
    <x:row r="770">
      <x:c r="E770" s="24"/>
      <x:c r="F770" s="24"/>
      <x:c r="G770" s="24"/>
      <x:c r="H770" s="24"/>
      <x:c r="I770" s="24"/>
    </x:row>
    <x:row r="771">
      <x:c r="E771" s="24"/>
      <x:c r="F771" s="24"/>
      <x:c r="G771" s="24"/>
      <x:c r="H771" s="24"/>
      <x:c r="I771" s="24"/>
    </x:row>
    <x:row r="772">
      <x:c r="E772" s="24"/>
      <x:c r="F772" s="24"/>
      <x:c r="G772" s="24"/>
      <x:c r="H772" s="24"/>
      <x:c r="I772" s="24"/>
    </x:row>
    <x:row r="773">
      <x:c r="E773" s="24"/>
      <x:c r="F773" s="24"/>
      <x:c r="G773" s="24"/>
      <x:c r="H773" s="24"/>
      <x:c r="I773" s="24"/>
    </x:row>
    <x:row r="774">
      <x:c r="E774" s="24"/>
      <x:c r="F774" s="24"/>
      <x:c r="G774" s="24"/>
      <x:c r="H774" s="24"/>
      <x:c r="I774" s="24"/>
    </x:row>
    <x:row r="775">
      <x:c r="E775" s="24"/>
      <x:c r="F775" s="24"/>
      <x:c r="G775" s="24"/>
      <x:c r="H775" s="24"/>
      <x:c r="I775" s="24"/>
    </x:row>
    <x:row r="776">
      <x:c r="E776" s="24"/>
      <x:c r="F776" s="24"/>
      <x:c r="G776" s="24"/>
      <x:c r="H776" s="24"/>
      <x:c r="I776" s="24"/>
    </x:row>
    <x:row r="777">
      <x:c r="E777" s="24"/>
      <x:c r="F777" s="24"/>
      <x:c r="G777" s="24"/>
      <x:c r="H777" s="24"/>
      <x:c r="I777" s="24"/>
    </x:row>
    <x:row r="778">
      <x:c r="E778" s="24"/>
      <x:c r="F778" s="24"/>
      <x:c r="G778" s="24"/>
      <x:c r="H778" s="24"/>
      <x:c r="I778" s="24"/>
    </x:row>
    <x:row r="779">
      <x:c r="E779" s="24"/>
      <x:c r="F779" s="24"/>
      <x:c r="G779" s="24"/>
      <x:c r="H779" s="24"/>
      <x:c r="I779" s="24"/>
    </x:row>
    <x:row r="780">
      <x:c r="E780" s="24"/>
      <x:c r="F780" s="24"/>
      <x:c r="G780" s="24"/>
      <x:c r="H780" s="24"/>
      <x:c r="I780" s="24"/>
    </x:row>
    <x:row r="781">
      <x:c r="E781" s="24"/>
      <x:c r="F781" s="24"/>
      <x:c r="G781" s="24"/>
      <x:c r="H781" s="24"/>
      <x:c r="I781" s="24"/>
    </x:row>
    <x:row r="782">
      <x:c r="E782" s="24"/>
      <x:c r="F782" s="24"/>
      <x:c r="G782" s="24"/>
      <x:c r="H782" s="24"/>
      <x:c r="I782" s="24"/>
    </x:row>
    <x:row r="783">
      <x:c r="E783" s="24"/>
      <x:c r="F783" s="24"/>
      <x:c r="G783" s="24"/>
      <x:c r="H783" s="24"/>
      <x:c r="I783" s="24"/>
    </x:row>
    <x:row r="784">
      <x:c r="E784" s="24"/>
      <x:c r="F784" s="24"/>
      <x:c r="G784" s="24"/>
      <x:c r="H784" s="24"/>
      <x:c r="I784" s="24"/>
    </x:row>
    <x:row r="785">
      <x:c r="E785" s="24"/>
      <x:c r="F785" s="24"/>
      <x:c r="G785" s="24"/>
      <x:c r="H785" s="24"/>
      <x:c r="I785" s="24"/>
    </x:row>
    <x:row r="786">
      <x:c r="E786" s="24"/>
      <x:c r="F786" s="24"/>
      <x:c r="G786" s="24"/>
      <x:c r="H786" s="24"/>
      <x:c r="I786" s="24"/>
    </x:row>
    <x:row r="787">
      <x:c r="E787" s="24"/>
      <x:c r="F787" s="24"/>
      <x:c r="G787" s="24"/>
      <x:c r="H787" s="24"/>
      <x:c r="I787" s="24"/>
    </x:row>
    <x:row r="788">
      <x:c r="E788" s="24"/>
      <x:c r="F788" s="24"/>
      <x:c r="G788" s="24"/>
      <x:c r="H788" s="24"/>
      <x:c r="I788" s="24"/>
    </x:row>
    <x:row r="789">
      <x:c r="E789" s="24"/>
      <x:c r="F789" s="24"/>
      <x:c r="G789" s="24"/>
      <x:c r="H789" s="24"/>
      <x:c r="I789" s="24"/>
    </x:row>
    <x:row r="790">
      <x:c r="E790" s="24"/>
      <x:c r="F790" s="24"/>
      <x:c r="G790" s="24"/>
      <x:c r="H790" s="24"/>
      <x:c r="I790" s="24"/>
    </x:row>
    <x:row r="791">
      <x:c r="E791" s="24"/>
      <x:c r="F791" s="24"/>
      <x:c r="G791" s="24"/>
      <x:c r="H791" s="24"/>
      <x:c r="I791" s="24"/>
    </x:row>
    <x:row r="792">
      <x:c r="E792" s="24"/>
      <x:c r="F792" s="24"/>
      <x:c r="G792" s="24"/>
      <x:c r="H792" s="24"/>
      <x:c r="I792" s="24"/>
    </x:row>
    <x:row r="793">
      <x:c r="E793" s="24"/>
      <x:c r="F793" s="24"/>
      <x:c r="G793" s="24"/>
      <x:c r="H793" s="24"/>
      <x:c r="I793" s="24"/>
    </x:row>
    <x:row r="794">
      <x:c r="E794" s="24"/>
      <x:c r="F794" s="24"/>
      <x:c r="G794" s="24"/>
      <x:c r="H794" s="24"/>
      <x:c r="I794" s="24"/>
    </x:row>
    <x:row r="795">
      <x:c r="E795" s="24"/>
      <x:c r="F795" s="24"/>
      <x:c r="G795" s="24"/>
      <x:c r="H795" s="24"/>
      <x:c r="I795" s="24"/>
    </x:row>
    <x:row r="796">
      <x:c r="E796" s="24"/>
      <x:c r="F796" s="24"/>
      <x:c r="G796" s="24"/>
      <x:c r="H796" s="24"/>
      <x:c r="I796" s="24"/>
    </x:row>
    <x:row r="797">
      <x:c r="E797" s="24"/>
      <x:c r="F797" s="24"/>
      <x:c r="G797" s="24"/>
      <x:c r="H797" s="24"/>
      <x:c r="I797" s="24"/>
    </x:row>
    <x:row r="798">
      <x:c r="E798" s="24"/>
      <x:c r="F798" s="24"/>
      <x:c r="G798" s="24"/>
      <x:c r="H798" s="24"/>
      <x:c r="I798" s="24"/>
    </x:row>
    <x:row r="799">
      <x:c r="E799" s="24"/>
      <x:c r="F799" s="24"/>
      <x:c r="G799" s="24"/>
      <x:c r="H799" s="24"/>
      <x:c r="I799" s="24"/>
    </x:row>
    <x:row r="800">
      <x:c r="E800" s="24"/>
      <x:c r="F800" s="24"/>
      <x:c r="G800" s="24"/>
      <x:c r="H800" s="24"/>
      <x:c r="I800" s="24"/>
    </x:row>
    <x:row r="801">
      <x:c r="E801" s="24"/>
      <x:c r="F801" s="24"/>
      <x:c r="G801" s="24"/>
      <x:c r="H801" s="24"/>
      <x:c r="I801" s="24"/>
    </x:row>
    <x:row r="802">
      <x:c r="E802" s="24"/>
      <x:c r="F802" s="24"/>
      <x:c r="G802" s="24"/>
      <x:c r="H802" s="24"/>
      <x:c r="I802" s="24"/>
    </x:row>
    <x:row r="803">
      <x:c r="E803" s="24"/>
      <x:c r="F803" s="24"/>
      <x:c r="G803" s="24"/>
      <x:c r="H803" s="24"/>
      <x:c r="I803" s="24"/>
    </x:row>
    <x:row r="804">
      <x:c r="E804" s="24"/>
      <x:c r="F804" s="24"/>
      <x:c r="G804" s="24"/>
      <x:c r="H804" s="24"/>
      <x:c r="I804" s="24"/>
    </x:row>
    <x:row r="805">
      <x:c r="E805" s="24"/>
      <x:c r="F805" s="24"/>
      <x:c r="G805" s="24"/>
      <x:c r="H805" s="24"/>
      <x:c r="I805" s="24"/>
    </x:row>
    <x:row r="806">
      <x:c r="E806" s="24"/>
      <x:c r="F806" s="24"/>
      <x:c r="G806" s="24"/>
      <x:c r="H806" s="24"/>
      <x:c r="I806" s="24"/>
    </x:row>
    <x:row r="807">
      <x:c r="E807" s="24"/>
      <x:c r="F807" s="24"/>
      <x:c r="G807" s="24"/>
      <x:c r="H807" s="24"/>
      <x:c r="I807" s="24"/>
    </x:row>
    <x:row r="808">
      <x:c r="E808" s="24"/>
      <x:c r="F808" s="24"/>
      <x:c r="G808" s="24"/>
      <x:c r="H808" s="24"/>
      <x:c r="I808" s="24"/>
    </x:row>
    <x:row r="809">
      <x:c r="E809" s="24"/>
      <x:c r="F809" s="24"/>
      <x:c r="G809" s="24"/>
      <x:c r="H809" s="24"/>
      <x:c r="I809" s="24"/>
    </x:row>
    <x:row r="810">
      <x:c r="E810" s="24"/>
      <x:c r="F810" s="24"/>
      <x:c r="G810" s="24"/>
      <x:c r="H810" s="24"/>
      <x:c r="I810" s="24"/>
    </x:row>
    <x:row r="811">
      <x:c r="E811" s="24"/>
      <x:c r="F811" s="24"/>
      <x:c r="G811" s="24"/>
      <x:c r="H811" s="24"/>
      <x:c r="I811" s="24"/>
    </x:row>
    <x:row r="812">
      <x:c r="E812" s="24"/>
      <x:c r="F812" s="24"/>
      <x:c r="G812" s="24"/>
      <x:c r="H812" s="24"/>
      <x:c r="I812" s="24"/>
    </x:row>
    <x:row r="813">
      <x:c r="E813" s="24"/>
      <x:c r="F813" s="24"/>
      <x:c r="G813" s="24"/>
      <x:c r="H813" s="24"/>
      <x:c r="I813" s="24"/>
    </x:row>
    <x:row r="814">
      <x:c r="E814" s="24"/>
      <x:c r="F814" s="24"/>
      <x:c r="G814" s="24"/>
      <x:c r="H814" s="24"/>
      <x:c r="I814" s="24"/>
    </x:row>
    <x:row r="815">
      <x:c r="E815" s="24"/>
      <x:c r="F815" s="24"/>
      <x:c r="G815" s="24"/>
      <x:c r="H815" s="24"/>
      <x:c r="I815" s="24"/>
    </x:row>
    <x:row r="816">
      <x:c r="E816" s="24"/>
      <x:c r="F816" s="24"/>
      <x:c r="G816" s="24"/>
      <x:c r="H816" s="24"/>
      <x:c r="I816" s="24"/>
    </x:row>
    <x:row r="817">
      <x:c r="E817" s="24"/>
      <x:c r="F817" s="24"/>
      <x:c r="G817" s="24"/>
      <x:c r="H817" s="24"/>
      <x:c r="I817" s="24"/>
    </x:row>
    <x:row r="818">
      <x:c r="E818" s="24"/>
      <x:c r="F818" s="24"/>
      <x:c r="G818" s="24"/>
      <x:c r="H818" s="24"/>
      <x:c r="I818" s="24"/>
    </x:row>
    <x:row r="819">
      <x:c r="E819" s="24"/>
      <x:c r="F819" s="24"/>
      <x:c r="G819" s="24"/>
      <x:c r="H819" s="24"/>
      <x:c r="I819" s="24"/>
    </x:row>
    <x:row r="820">
      <x:c r="E820" s="24"/>
      <x:c r="F820" s="24"/>
      <x:c r="G820" s="24"/>
      <x:c r="H820" s="24"/>
      <x:c r="I820" s="24"/>
    </x:row>
    <x:row r="821">
      <x:c r="E821" s="24"/>
      <x:c r="F821" s="24"/>
      <x:c r="G821" s="24"/>
      <x:c r="H821" s="24"/>
      <x:c r="I821" s="24"/>
    </x:row>
    <x:row r="822">
      <x:c r="E822" s="24"/>
      <x:c r="F822" s="24"/>
      <x:c r="G822" s="24"/>
      <x:c r="H822" s="24"/>
      <x:c r="I822" s="24"/>
    </x:row>
    <x:row r="823">
      <x:c r="E823" s="24"/>
      <x:c r="F823" s="24"/>
      <x:c r="G823" s="24"/>
      <x:c r="H823" s="24"/>
      <x:c r="I823" s="24"/>
    </x:row>
    <x:row r="824">
      <x:c r="E824" s="24"/>
      <x:c r="F824" s="24"/>
      <x:c r="G824" s="24"/>
      <x:c r="H824" s="24"/>
      <x:c r="I824" s="24"/>
    </x:row>
    <x:row r="825">
      <x:c r="E825" s="24"/>
      <x:c r="F825" s="24"/>
      <x:c r="G825" s="24"/>
      <x:c r="H825" s="24"/>
      <x:c r="I825" s="24"/>
    </x:row>
    <x:row r="826">
      <x:c r="E826" s="24"/>
      <x:c r="F826" s="24"/>
      <x:c r="G826" s="24"/>
      <x:c r="H826" s="24"/>
      <x:c r="I826" s="24"/>
    </x:row>
    <x:row r="827">
      <x:c r="E827" s="24"/>
      <x:c r="F827" s="24"/>
      <x:c r="G827" s="24"/>
      <x:c r="H827" s="24"/>
      <x:c r="I827" s="24"/>
    </x:row>
    <x:row r="828">
      <x:c r="E828" s="24"/>
      <x:c r="F828" s="24"/>
      <x:c r="G828" s="24"/>
      <x:c r="H828" s="24"/>
      <x:c r="I828" s="24"/>
    </x:row>
    <x:row r="829">
      <x:c r="E829" s="24"/>
      <x:c r="F829" s="24"/>
      <x:c r="G829" s="24"/>
      <x:c r="H829" s="24"/>
      <x:c r="I829" s="24"/>
    </x:row>
    <x:row r="830">
      <x:c r="E830" s="24"/>
      <x:c r="F830" s="24"/>
      <x:c r="G830" s="24"/>
      <x:c r="H830" s="24"/>
      <x:c r="I830" s="24"/>
    </x:row>
    <x:row r="831">
      <x:c r="E831" s="24"/>
      <x:c r="F831" s="24"/>
      <x:c r="G831" s="24"/>
      <x:c r="H831" s="24"/>
      <x:c r="I831" s="24"/>
    </x:row>
    <x:row r="832">
      <x:c r="E832" s="24"/>
      <x:c r="F832" s="24"/>
      <x:c r="G832" s="24"/>
      <x:c r="H832" s="24"/>
      <x:c r="I832" s="24"/>
    </x:row>
    <x:row r="833">
      <x:c r="E833" s="24"/>
      <x:c r="F833" s="24"/>
      <x:c r="G833" s="24"/>
      <x:c r="H833" s="24"/>
      <x:c r="I833" s="24"/>
    </x:row>
    <x:row r="834">
      <x:c r="E834" s="24"/>
      <x:c r="F834" s="24"/>
      <x:c r="G834" s="24"/>
      <x:c r="H834" s="24"/>
      <x:c r="I834" s="24"/>
    </x:row>
    <x:row r="835">
      <x:c r="E835" s="24"/>
      <x:c r="F835" s="24"/>
      <x:c r="G835" s="24"/>
      <x:c r="H835" s="24"/>
      <x:c r="I835" s="24"/>
    </x:row>
    <x:row r="836">
      <x:c r="E836" s="24"/>
      <x:c r="F836" s="24"/>
      <x:c r="G836" s="24"/>
      <x:c r="H836" s="24"/>
      <x:c r="I836" s="24"/>
    </x:row>
    <x:row r="837">
      <x:c r="E837" s="24"/>
      <x:c r="F837" s="24"/>
      <x:c r="G837" s="24"/>
      <x:c r="H837" s="24"/>
      <x:c r="I837" s="24"/>
    </x:row>
    <x:row r="838">
      <x:c r="E838" s="24"/>
      <x:c r="F838" s="24"/>
      <x:c r="G838" s="24"/>
      <x:c r="H838" s="24"/>
      <x:c r="I838" s="24"/>
    </x:row>
    <x:row r="839">
      <x:c r="E839" s="24"/>
      <x:c r="F839" s="24"/>
      <x:c r="G839" s="24"/>
      <x:c r="H839" s="24"/>
      <x:c r="I839" s="24"/>
    </x:row>
    <x:row r="840">
      <x:c r="E840" s="24"/>
      <x:c r="F840" s="24"/>
      <x:c r="G840" s="24"/>
      <x:c r="H840" s="24"/>
      <x:c r="I840" s="24"/>
    </x:row>
    <x:row r="841">
      <x:c r="E841" s="24"/>
      <x:c r="F841" s="24"/>
      <x:c r="G841" s="24"/>
      <x:c r="H841" s="24"/>
      <x:c r="I841" s="24"/>
    </x:row>
    <x:row r="842">
      <x:c r="E842" s="24"/>
      <x:c r="F842" s="24"/>
      <x:c r="G842" s="24"/>
      <x:c r="H842" s="24"/>
      <x:c r="I842" s="24"/>
    </x:row>
    <x:row r="843">
      <x:c r="E843" s="24"/>
      <x:c r="F843" s="24"/>
      <x:c r="G843" s="24"/>
      <x:c r="H843" s="24"/>
      <x:c r="I843" s="24"/>
    </x:row>
    <x:row r="844">
      <x:c r="E844" s="24"/>
      <x:c r="F844" s="24"/>
      <x:c r="G844" s="24"/>
      <x:c r="H844" s="24"/>
      <x:c r="I844" s="24"/>
    </x:row>
    <x:row r="845">
      <x:c r="E845" s="24"/>
      <x:c r="F845" s="24"/>
      <x:c r="G845" s="24"/>
      <x:c r="H845" s="24"/>
      <x:c r="I845" s="24"/>
    </x:row>
    <x:row r="846">
      <x:c r="E846" s="24"/>
      <x:c r="F846" s="24"/>
      <x:c r="G846" s="24"/>
      <x:c r="H846" s="24"/>
      <x:c r="I846" s="24"/>
    </x:row>
    <x:row r="847">
      <x:c r="E847" s="24"/>
      <x:c r="F847" s="24"/>
      <x:c r="G847" s="24"/>
      <x:c r="H847" s="24"/>
      <x:c r="I847" s="24"/>
    </x:row>
    <x:row r="848">
      <x:c r="E848" s="24"/>
      <x:c r="F848" s="24"/>
      <x:c r="G848" s="24"/>
      <x:c r="H848" s="24"/>
      <x:c r="I848" s="24"/>
    </x:row>
    <x:row r="849">
      <x:c r="E849" s="24"/>
      <x:c r="F849" s="24"/>
      <x:c r="G849" s="24"/>
      <x:c r="H849" s="24"/>
      <x:c r="I849" s="24"/>
    </x:row>
    <x:row r="850">
      <x:c r="E850" s="24"/>
      <x:c r="F850" s="24"/>
      <x:c r="G850" s="24"/>
      <x:c r="H850" s="24"/>
      <x:c r="I850" s="24"/>
    </x:row>
    <x:row r="851">
      <x:c r="E851" s="24"/>
      <x:c r="F851" s="24"/>
      <x:c r="G851" s="24"/>
      <x:c r="H851" s="24"/>
      <x:c r="I851" s="24"/>
    </x:row>
    <x:row r="852">
      <x:c r="E852" s="24"/>
      <x:c r="F852" s="24"/>
      <x:c r="G852" s="24"/>
      <x:c r="H852" s="24"/>
      <x:c r="I852" s="24"/>
    </x:row>
    <x:row r="853">
      <x:c r="E853" s="24"/>
      <x:c r="F853" s="24"/>
      <x:c r="G853" s="24"/>
      <x:c r="H853" s="24"/>
      <x:c r="I853" s="24"/>
    </x:row>
    <x:row r="854">
      <x:c r="E854" s="24"/>
      <x:c r="F854" s="24"/>
      <x:c r="G854" s="24"/>
      <x:c r="H854" s="24"/>
      <x:c r="I854" s="24"/>
    </x:row>
    <x:row r="855">
      <x:c r="E855" s="24"/>
      <x:c r="F855" s="24"/>
      <x:c r="G855" s="24"/>
      <x:c r="H855" s="24"/>
      <x:c r="I855" s="24"/>
    </x:row>
    <x:row r="856">
      <x:c r="E856" s="24"/>
      <x:c r="F856" s="24"/>
      <x:c r="G856" s="24"/>
      <x:c r="H856" s="24"/>
      <x:c r="I856" s="24"/>
    </x:row>
    <x:row r="857">
      <x:c r="E857" s="24"/>
      <x:c r="F857" s="24"/>
      <x:c r="G857" s="24"/>
      <x:c r="H857" s="24"/>
      <x:c r="I857" s="24"/>
    </x:row>
    <x:row r="858">
      <x:c r="E858" s="24"/>
      <x:c r="F858" s="24"/>
      <x:c r="G858" s="24"/>
      <x:c r="H858" s="24"/>
      <x:c r="I858" s="24"/>
    </x:row>
    <x:row r="859">
      <x:c r="E859" s="24"/>
      <x:c r="F859" s="24"/>
      <x:c r="G859" s="24"/>
      <x:c r="H859" s="24"/>
      <x:c r="I859" s="24"/>
    </x:row>
    <x:row r="860">
      <x:c r="E860" s="24"/>
      <x:c r="F860" s="24"/>
      <x:c r="G860" s="24"/>
      <x:c r="H860" s="24"/>
      <x:c r="I860" s="24"/>
    </x:row>
    <x:row r="861">
      <x:c r="E861" s="24"/>
      <x:c r="F861" s="24"/>
      <x:c r="G861" s="24"/>
      <x:c r="H861" s="24"/>
      <x:c r="I861" s="24"/>
    </x:row>
    <x:row r="862">
      <x:c r="E862" s="24"/>
      <x:c r="F862" s="24"/>
      <x:c r="G862" s="24"/>
      <x:c r="H862" s="24"/>
      <x:c r="I862" s="24"/>
    </x:row>
    <x:row r="863">
      <x:c r="E863" s="24"/>
      <x:c r="F863" s="24"/>
      <x:c r="G863" s="24"/>
      <x:c r="H863" s="24"/>
      <x:c r="I863" s="24"/>
    </x:row>
    <x:row r="864">
      <x:c r="E864" s="24"/>
      <x:c r="F864" s="24"/>
      <x:c r="G864" s="24"/>
      <x:c r="H864" s="24"/>
      <x:c r="I864" s="24"/>
    </x:row>
    <x:row r="865">
      <x:c r="E865" s="24"/>
      <x:c r="F865" s="24"/>
      <x:c r="G865" s="24"/>
      <x:c r="H865" s="24"/>
      <x:c r="I865" s="24"/>
    </x:row>
    <x:row r="866">
      <x:c r="E866" s="24"/>
      <x:c r="F866" s="24"/>
      <x:c r="G866" s="24"/>
      <x:c r="H866" s="24"/>
      <x:c r="I866" s="24"/>
    </x:row>
    <x:row r="867">
      <x:c r="E867" s="24"/>
      <x:c r="F867" s="24"/>
      <x:c r="G867" s="24"/>
      <x:c r="H867" s="24"/>
      <x:c r="I867" s="24"/>
    </x:row>
    <x:row r="868">
      <x:c r="E868" s="24"/>
      <x:c r="F868" s="24"/>
      <x:c r="G868" s="24"/>
      <x:c r="H868" s="24"/>
      <x:c r="I868" s="24"/>
    </x:row>
    <x:row r="869">
      <x:c r="E869" s="24"/>
      <x:c r="F869" s="24"/>
      <x:c r="G869" s="24"/>
      <x:c r="H869" s="24"/>
      <x:c r="I869" s="24"/>
    </x:row>
    <x:row r="870">
      <x:c r="E870" s="24"/>
      <x:c r="F870" s="24"/>
      <x:c r="G870" s="24"/>
      <x:c r="H870" s="24"/>
      <x:c r="I870" s="24"/>
    </x:row>
    <x:row r="871">
      <x:c r="E871" s="24"/>
      <x:c r="F871" s="24"/>
      <x:c r="G871" s="24"/>
      <x:c r="H871" s="24"/>
      <x:c r="I871" s="24"/>
    </x:row>
    <x:row r="872">
      <x:c r="E872" s="24"/>
      <x:c r="F872" s="24"/>
      <x:c r="G872" s="24"/>
      <x:c r="H872" s="24"/>
      <x:c r="I872" s="24"/>
    </x:row>
    <x:row r="873">
      <x:c r="E873" s="24"/>
      <x:c r="F873" s="24"/>
      <x:c r="G873" s="24"/>
      <x:c r="H873" s="24"/>
      <x:c r="I873" s="24"/>
    </x:row>
    <x:row r="874">
      <x:c r="E874" s="24"/>
      <x:c r="F874" s="24"/>
      <x:c r="G874" s="24"/>
      <x:c r="H874" s="24"/>
      <x:c r="I874" s="24"/>
    </x:row>
    <x:row r="875">
      <x:c r="E875" s="24"/>
      <x:c r="F875" s="24"/>
      <x:c r="G875" s="24"/>
      <x:c r="H875" s="24"/>
      <x:c r="I875" s="24"/>
    </x:row>
    <x:row r="876">
      <x:c r="E876" s="24"/>
      <x:c r="F876" s="24"/>
      <x:c r="G876" s="24"/>
      <x:c r="H876" s="24"/>
      <x:c r="I876" s="24"/>
    </x:row>
    <x:row r="877">
      <x:c r="E877" s="24"/>
      <x:c r="F877" s="24"/>
      <x:c r="G877" s="24"/>
      <x:c r="H877" s="24"/>
      <x:c r="I877" s="24"/>
    </x:row>
    <x:row r="878">
      <x:c r="E878" s="24"/>
      <x:c r="F878" s="24"/>
      <x:c r="G878" s="24"/>
      <x:c r="H878" s="24"/>
      <x:c r="I878" s="24"/>
    </x:row>
    <x:row r="879">
      <x:c r="E879" s="24"/>
      <x:c r="F879" s="24"/>
      <x:c r="G879" s="24"/>
      <x:c r="H879" s="24"/>
      <x:c r="I879" s="24"/>
    </x:row>
    <x:row r="880">
      <x:c r="E880" s="24"/>
      <x:c r="F880" s="24"/>
      <x:c r="G880" s="24"/>
      <x:c r="H880" s="24"/>
      <x:c r="I880" s="24"/>
    </x:row>
    <x:row r="881">
      <x:c r="E881" s="24"/>
      <x:c r="F881" s="24"/>
      <x:c r="G881" s="24"/>
      <x:c r="H881" s="24"/>
      <x:c r="I881" s="24"/>
    </x:row>
    <x:row r="882">
      <x:c r="E882" s="24"/>
      <x:c r="F882" s="24"/>
      <x:c r="G882" s="24"/>
      <x:c r="H882" s="24"/>
      <x:c r="I882" s="24"/>
    </x:row>
    <x:row r="883">
      <x:c r="E883" s="24"/>
      <x:c r="F883" s="24"/>
      <x:c r="G883" s="24"/>
      <x:c r="H883" s="24"/>
      <x:c r="I883" s="24"/>
    </x:row>
    <x:row r="884">
      <x:c r="E884" s="24"/>
      <x:c r="F884" s="24"/>
      <x:c r="G884" s="24"/>
      <x:c r="H884" s="24"/>
      <x:c r="I884" s="24"/>
    </x:row>
    <x:row r="885">
      <x:c r="E885" s="24"/>
      <x:c r="F885" s="24"/>
      <x:c r="G885" s="24"/>
      <x:c r="H885" s="24"/>
      <x:c r="I885" s="24"/>
    </x:row>
    <x:row r="886">
      <x:c r="E886" s="24"/>
      <x:c r="F886" s="24"/>
      <x:c r="G886" s="24"/>
      <x:c r="H886" s="24"/>
      <x:c r="I886" s="24"/>
    </x:row>
    <x:row r="887">
      <x:c r="E887" s="24"/>
      <x:c r="F887" s="24"/>
      <x:c r="G887" s="24"/>
      <x:c r="H887" s="24"/>
      <x:c r="I887" s="24"/>
    </x:row>
    <x:row r="888">
      <x:c r="E888" s="24"/>
      <x:c r="F888" s="24"/>
      <x:c r="G888" s="24"/>
      <x:c r="H888" s="24"/>
      <x:c r="I888" s="24"/>
    </x:row>
    <x:row r="889">
      <x:c r="E889" s="24"/>
      <x:c r="F889" s="24"/>
      <x:c r="G889" s="24"/>
      <x:c r="H889" s="24"/>
      <x:c r="I889" s="24"/>
    </x:row>
    <x:row r="890">
      <x:c r="E890" s="24"/>
      <x:c r="F890" s="24"/>
      <x:c r="G890" s="24"/>
      <x:c r="H890" s="24"/>
      <x:c r="I890" s="24"/>
    </x:row>
    <x:row r="891">
      <x:c r="E891" s="24"/>
      <x:c r="F891" s="24"/>
      <x:c r="G891" s="24"/>
      <x:c r="H891" s="24"/>
      <x:c r="I891" s="24"/>
    </x:row>
    <x:row r="892">
      <x:c r="E892" s="24"/>
      <x:c r="F892" s="24"/>
      <x:c r="G892" s="24"/>
      <x:c r="H892" s="24"/>
      <x:c r="I892" s="24"/>
    </x:row>
    <x:row r="893">
      <x:c r="E893" s="24"/>
      <x:c r="F893" s="24"/>
      <x:c r="G893" s="24"/>
      <x:c r="H893" s="24"/>
      <x:c r="I893" s="24"/>
    </x:row>
    <x:row r="894">
      <x:c r="E894" s="24"/>
      <x:c r="F894" s="24"/>
      <x:c r="G894" s="24"/>
      <x:c r="H894" s="24"/>
      <x:c r="I894" s="24"/>
    </x:row>
    <x:row r="895">
      <x:c r="E895" s="24"/>
      <x:c r="F895" s="24"/>
      <x:c r="G895" s="24"/>
      <x:c r="H895" s="24"/>
      <x:c r="I895" s="24"/>
    </x:row>
    <x:row r="896">
      <x:c r="E896" s="24"/>
      <x:c r="F896" s="24"/>
      <x:c r="G896" s="24"/>
      <x:c r="H896" s="24"/>
      <x:c r="I896" s="24"/>
    </x:row>
    <x:row r="897">
      <x:c r="E897" s="24"/>
      <x:c r="F897" s="24"/>
      <x:c r="G897" s="24"/>
      <x:c r="H897" s="24"/>
      <x:c r="I897" s="24"/>
    </x:row>
    <x:row r="898">
      <x:c r="E898" s="24"/>
      <x:c r="F898" s="24"/>
      <x:c r="G898" s="24"/>
      <x:c r="H898" s="24"/>
      <x:c r="I898" s="24"/>
    </x:row>
    <x:row r="899">
      <x:c r="E899" s="24"/>
      <x:c r="F899" s="24"/>
      <x:c r="G899" s="24"/>
      <x:c r="H899" s="24"/>
      <x:c r="I899" s="24"/>
    </x:row>
    <x:row r="900">
      <x:c r="E900" s="24"/>
      <x:c r="F900" s="24"/>
      <x:c r="G900" s="24"/>
      <x:c r="H900" s="24"/>
      <x:c r="I900" s="24"/>
    </x:row>
    <x:row r="901">
      <x:c r="E901" s="24"/>
      <x:c r="F901" s="24"/>
      <x:c r="G901" s="24"/>
      <x:c r="H901" s="24"/>
      <x:c r="I901" s="24"/>
    </x:row>
    <x:row r="902">
      <x:c r="E902" s="24"/>
      <x:c r="F902" s="24"/>
      <x:c r="G902" s="24"/>
      <x:c r="H902" s="24"/>
      <x:c r="I902" s="24"/>
    </x:row>
    <x:row r="903">
      <x:c r="E903" s="24"/>
      <x:c r="F903" s="24"/>
      <x:c r="G903" s="24"/>
      <x:c r="H903" s="24"/>
      <x:c r="I903" s="24"/>
    </x:row>
    <x:row r="904">
      <x:c r="E904" s="24"/>
      <x:c r="F904" s="24"/>
      <x:c r="G904" s="24"/>
      <x:c r="H904" s="24"/>
      <x:c r="I904" s="24"/>
    </x:row>
    <x:row r="905">
      <x:c r="E905" s="24"/>
      <x:c r="F905" s="24"/>
      <x:c r="G905" s="24"/>
      <x:c r="H905" s="24"/>
      <x:c r="I905" s="24"/>
    </x:row>
    <x:row r="906">
      <x:c r="E906" s="24"/>
      <x:c r="F906" s="24"/>
      <x:c r="G906" s="24"/>
      <x:c r="H906" s="24"/>
      <x:c r="I906" s="24"/>
    </x:row>
    <x:row r="907">
      <x:c r="E907" s="24"/>
      <x:c r="F907" s="24"/>
      <x:c r="G907" s="24"/>
      <x:c r="H907" s="24"/>
      <x:c r="I907" s="24"/>
    </x:row>
    <x:row r="908">
      <x:c r="E908" s="24"/>
      <x:c r="F908" s="24"/>
      <x:c r="G908" s="24"/>
      <x:c r="H908" s="24"/>
      <x:c r="I908" s="24"/>
    </x:row>
    <x:row r="909">
      <x:c r="E909" s="24"/>
      <x:c r="F909" s="24"/>
      <x:c r="G909" s="24"/>
      <x:c r="H909" s="24"/>
      <x:c r="I909" s="24"/>
    </x:row>
    <x:row r="910">
      <x:c r="E910" s="24"/>
      <x:c r="F910" s="24"/>
      <x:c r="G910" s="24"/>
      <x:c r="H910" s="24"/>
      <x:c r="I910" s="24"/>
    </x:row>
    <x:row r="911">
      <x:c r="E911" s="24"/>
      <x:c r="F911" s="24"/>
      <x:c r="G911" s="24"/>
      <x:c r="H911" s="24"/>
      <x:c r="I911" s="24"/>
    </x:row>
    <x:row r="912">
      <x:c r="E912" s="24"/>
      <x:c r="F912" s="24"/>
      <x:c r="G912" s="24"/>
      <x:c r="H912" s="24"/>
      <x:c r="I912" s="24"/>
    </x:row>
    <x:row r="913">
      <x:c r="E913" s="24"/>
      <x:c r="F913" s="24"/>
      <x:c r="G913" s="24"/>
      <x:c r="H913" s="24"/>
      <x:c r="I913" s="24"/>
    </x:row>
    <x:row r="914">
      <x:c r="E914" s="24"/>
      <x:c r="F914" s="24"/>
      <x:c r="G914" s="24"/>
      <x:c r="H914" s="24"/>
      <x:c r="I914" s="24"/>
    </x:row>
    <x:row r="915">
      <x:c r="E915" s="24"/>
      <x:c r="F915" s="24"/>
      <x:c r="G915" s="24"/>
      <x:c r="H915" s="24"/>
      <x:c r="I915" s="24"/>
    </x:row>
    <x:row r="916">
      <x:c r="E916" s="24"/>
      <x:c r="F916" s="24"/>
      <x:c r="G916" s="24"/>
      <x:c r="H916" s="24"/>
      <x:c r="I916" s="24"/>
    </x:row>
    <x:row r="917">
      <x:c r="E917" s="24"/>
      <x:c r="F917" s="24"/>
      <x:c r="G917" s="24"/>
      <x:c r="H917" s="24"/>
      <x:c r="I917" s="24"/>
    </x:row>
    <x:row r="918">
      <x:c r="E918" s="24"/>
      <x:c r="F918" s="24"/>
      <x:c r="G918" s="24"/>
      <x:c r="H918" s="24"/>
      <x:c r="I918" s="24"/>
    </x:row>
    <x:row r="919">
      <x:c r="E919" s="24"/>
      <x:c r="F919" s="24"/>
      <x:c r="G919" s="24"/>
      <x:c r="H919" s="24"/>
      <x:c r="I919" s="24"/>
    </x:row>
    <x:row r="920">
      <x:c r="E920" s="24"/>
      <x:c r="F920" s="24"/>
      <x:c r="G920" s="24"/>
      <x:c r="H920" s="24"/>
      <x:c r="I920" s="24"/>
    </x:row>
    <x:row r="921">
      <x:c r="E921" s="24"/>
      <x:c r="F921" s="24"/>
      <x:c r="G921" s="24"/>
      <x:c r="H921" s="24"/>
      <x:c r="I921" s="24"/>
    </x:row>
    <x:row r="922">
      <x:c r="E922" s="24"/>
      <x:c r="F922" s="24"/>
      <x:c r="G922" s="24"/>
      <x:c r="H922" s="24"/>
      <x:c r="I922" s="24"/>
    </x:row>
    <x:row r="923">
      <x:c r="E923" s="24"/>
      <x:c r="F923" s="24"/>
      <x:c r="G923" s="24"/>
      <x:c r="H923" s="24"/>
      <x:c r="I923" s="24"/>
    </x:row>
    <x:row r="924">
      <x:c r="E924" s="24"/>
      <x:c r="F924" s="24"/>
      <x:c r="G924" s="24"/>
      <x:c r="H924" s="24"/>
      <x:c r="I924" s="24"/>
    </x:row>
    <x:row r="925">
      <x:c r="E925" s="24"/>
      <x:c r="F925" s="24"/>
      <x:c r="G925" s="24"/>
      <x:c r="H925" s="24"/>
      <x:c r="I925" s="24"/>
    </x:row>
    <x:row r="926">
      <x:c r="E926" s="24"/>
      <x:c r="F926" s="24"/>
      <x:c r="G926" s="24"/>
      <x:c r="H926" s="24"/>
      <x:c r="I926" s="24"/>
    </x:row>
    <x:row r="927">
      <x:c r="E927" s="24"/>
      <x:c r="F927" s="24"/>
      <x:c r="G927" s="24"/>
      <x:c r="H927" s="24"/>
      <x:c r="I927" s="24"/>
    </x:row>
    <x:row r="928">
      <x:c r="E928" s="24"/>
      <x:c r="F928" s="24"/>
      <x:c r="G928" s="24"/>
      <x:c r="H928" s="24"/>
      <x:c r="I928" s="24"/>
    </x:row>
    <x:row r="929">
      <x:c r="E929" s="24"/>
      <x:c r="F929" s="24"/>
      <x:c r="G929" s="24"/>
      <x:c r="H929" s="24"/>
      <x:c r="I929" s="24"/>
    </x:row>
    <x:row r="930">
      <x:c r="E930" s="24"/>
      <x:c r="F930" s="24"/>
      <x:c r="G930" s="24"/>
      <x:c r="H930" s="24"/>
      <x:c r="I930" s="24"/>
    </x:row>
    <x:row r="931">
      <x:c r="E931" s="24"/>
      <x:c r="F931" s="24"/>
      <x:c r="G931" s="24"/>
      <x:c r="H931" s="24"/>
      <x:c r="I931" s="24"/>
    </x:row>
    <x:row r="932">
      <x:c r="E932" s="24"/>
      <x:c r="F932" s="24"/>
      <x:c r="G932" s="24"/>
      <x:c r="H932" s="24"/>
      <x:c r="I932" s="24"/>
    </x:row>
    <x:row r="933">
      <x:c r="E933" s="24"/>
      <x:c r="F933" s="24"/>
      <x:c r="G933" s="24"/>
      <x:c r="H933" s="24"/>
      <x:c r="I933" s="24"/>
    </x:row>
    <x:row r="934">
      <x:c r="E934" s="24"/>
      <x:c r="F934" s="24"/>
      <x:c r="G934" s="24"/>
      <x:c r="H934" s="24"/>
      <x:c r="I934" s="24"/>
    </x:row>
    <x:row r="935">
      <x:c r="E935" s="24"/>
      <x:c r="F935" s="24"/>
      <x:c r="G935" s="24"/>
      <x:c r="H935" s="24"/>
      <x:c r="I935" s="24"/>
    </x:row>
    <x:row r="936">
      <x:c r="E936" s="24"/>
      <x:c r="F936" s="24"/>
      <x:c r="G936" s="24"/>
      <x:c r="H936" s="24"/>
      <x:c r="I936" s="24"/>
    </x:row>
    <x:row r="937">
      <x:c r="E937" s="24"/>
      <x:c r="F937" s="24"/>
      <x:c r="G937" s="24"/>
      <x:c r="H937" s="24"/>
      <x:c r="I937" s="24"/>
    </x:row>
    <x:row r="938">
      <x:c r="E938" s="24"/>
      <x:c r="F938" s="24"/>
      <x:c r="G938" s="24"/>
      <x:c r="H938" s="24"/>
      <x:c r="I938" s="24"/>
    </x:row>
    <x:row r="939">
      <x:c r="E939" s="24"/>
      <x:c r="F939" s="24"/>
      <x:c r="G939" s="24"/>
      <x:c r="H939" s="24"/>
      <x:c r="I939" s="24"/>
    </x:row>
    <x:row r="940">
      <x:c r="E940" s="24"/>
      <x:c r="F940" s="24"/>
      <x:c r="G940" s="24"/>
      <x:c r="H940" s="24"/>
      <x:c r="I940" s="24"/>
    </x:row>
    <x:row r="941">
      <x:c r="E941" s="24"/>
      <x:c r="F941" s="24"/>
      <x:c r="G941" s="24"/>
      <x:c r="H941" s="24"/>
      <x:c r="I941" s="24"/>
    </x:row>
    <x:row r="942">
      <x:c r="E942" s="24"/>
      <x:c r="F942" s="24"/>
      <x:c r="G942" s="24"/>
      <x:c r="H942" s="24"/>
      <x:c r="I942" s="24"/>
    </x:row>
    <x:row r="943">
      <x:c r="E943" s="24"/>
      <x:c r="F943" s="24"/>
      <x:c r="G943" s="24"/>
      <x:c r="H943" s="24"/>
      <x:c r="I943" s="24"/>
    </x:row>
    <x:row r="944">
      <x:c r="E944" s="24"/>
      <x:c r="F944" s="24"/>
      <x:c r="G944" s="24"/>
      <x:c r="H944" s="24"/>
      <x:c r="I944" s="24"/>
    </x:row>
    <x:row r="945">
      <x:c r="E945" s="24"/>
      <x:c r="F945" s="24"/>
      <x:c r="G945" s="24"/>
      <x:c r="H945" s="24"/>
      <x:c r="I945" s="24"/>
    </x:row>
    <x:row r="946">
      <x:c r="E946" s="24"/>
      <x:c r="F946" s="24"/>
      <x:c r="G946" s="24"/>
      <x:c r="H946" s="24"/>
      <x:c r="I946" s="24"/>
    </x:row>
    <x:row r="947">
      <x:c r="E947" s="24"/>
      <x:c r="F947" s="24"/>
      <x:c r="G947" s="24"/>
      <x:c r="H947" s="24"/>
      <x:c r="I947" s="24"/>
    </x:row>
    <x:row r="948">
      <x:c r="E948" s="24"/>
      <x:c r="F948" s="24"/>
      <x:c r="G948" s="24"/>
      <x:c r="H948" s="24"/>
      <x:c r="I948" s="24"/>
    </x:row>
    <x:row r="949">
      <x:c r="E949" s="24"/>
      <x:c r="F949" s="24"/>
      <x:c r="G949" s="24"/>
      <x:c r="H949" s="24"/>
      <x:c r="I949" s="24"/>
    </x:row>
    <x:row r="950">
      <x:c r="E950" s="24"/>
      <x:c r="F950" s="24"/>
      <x:c r="G950" s="24"/>
      <x:c r="H950" s="24"/>
      <x:c r="I950" s="24"/>
    </x:row>
    <x:row r="951">
      <x:c r="E951" s="24"/>
      <x:c r="F951" s="24"/>
      <x:c r="G951" s="24"/>
      <x:c r="H951" s="24"/>
      <x:c r="I951" s="24"/>
    </x:row>
    <x:row r="952">
      <x:c r="E952" s="24"/>
      <x:c r="F952" s="24"/>
      <x:c r="G952" s="24"/>
      <x:c r="H952" s="24"/>
      <x:c r="I952" s="24"/>
    </x:row>
    <x:row r="953">
      <x:c r="E953" s="24"/>
      <x:c r="F953" s="24"/>
      <x:c r="G953" s="24"/>
      <x:c r="H953" s="24"/>
      <x:c r="I953" s="24"/>
    </x:row>
    <x:row r="954">
      <x:c r="E954" s="24"/>
      <x:c r="F954" s="24"/>
      <x:c r="G954" s="24"/>
      <x:c r="H954" s="24"/>
      <x:c r="I954" s="24"/>
    </x:row>
    <x:row r="955">
      <x:c r="E955" s="24"/>
      <x:c r="F955" s="24"/>
      <x:c r="G955" s="24"/>
      <x:c r="H955" s="24"/>
      <x:c r="I955" s="24"/>
    </x:row>
    <x:row r="956">
      <x:c r="E956" s="24"/>
      <x:c r="F956" s="24"/>
      <x:c r="G956" s="24"/>
      <x:c r="H956" s="24"/>
      <x:c r="I956" s="24"/>
    </x:row>
    <x:row r="957">
      <x:c r="E957" s="24"/>
      <x:c r="F957" s="24"/>
      <x:c r="G957" s="24"/>
      <x:c r="H957" s="24"/>
      <x:c r="I957" s="24"/>
    </x:row>
    <x:row r="958">
      <x:c r="E958" s="24"/>
      <x:c r="F958" s="24"/>
      <x:c r="G958" s="24"/>
      <x:c r="H958" s="24"/>
      <x:c r="I958" s="24"/>
    </x:row>
    <x:row r="959">
      <x:c r="E959" s="24"/>
      <x:c r="F959" s="24"/>
      <x:c r="G959" s="24"/>
      <x:c r="H959" s="24"/>
      <x:c r="I959" s="24"/>
    </x:row>
    <x:row r="960">
      <x:c r="E960" s="24"/>
      <x:c r="F960" s="24"/>
      <x:c r="G960" s="24"/>
      <x:c r="H960" s="24"/>
      <x:c r="I960" s="24"/>
    </x:row>
    <x:row r="961">
      <x:c r="E961" s="24"/>
      <x:c r="F961" s="24"/>
      <x:c r="G961" s="24"/>
      <x:c r="H961" s="24"/>
      <x:c r="I961" s="24"/>
    </x:row>
    <x:row r="962">
      <x:c r="E962" s="24"/>
      <x:c r="F962" s="24"/>
      <x:c r="G962" s="24"/>
      <x:c r="H962" s="24"/>
      <x:c r="I962" s="24"/>
    </x:row>
    <x:row r="963">
      <x:c r="E963" s="24"/>
      <x:c r="F963" s="24"/>
      <x:c r="G963" s="24"/>
      <x:c r="H963" s="24"/>
      <x:c r="I963" s="24"/>
    </x:row>
    <x:row r="964">
      <x:c r="E964" s="24"/>
      <x:c r="F964" s="24"/>
      <x:c r="G964" s="24"/>
      <x:c r="H964" s="24"/>
      <x:c r="I964" s="24"/>
    </x:row>
    <x:row r="965">
      <x:c r="E965" s="24"/>
      <x:c r="F965" s="24"/>
      <x:c r="G965" s="24"/>
      <x:c r="H965" s="24"/>
      <x:c r="I965" s="24"/>
    </x:row>
    <x:row r="966">
      <x:c r="E966" s="24"/>
      <x:c r="F966" s="24"/>
      <x:c r="G966" s="24"/>
      <x:c r="H966" s="24"/>
      <x:c r="I966" s="24"/>
    </x:row>
    <x:row r="967">
      <x:c r="E967" s="24"/>
      <x:c r="F967" s="24"/>
      <x:c r="G967" s="24"/>
      <x:c r="H967" s="24"/>
      <x:c r="I967" s="24"/>
    </x:row>
    <x:row r="968">
      <x:c r="E968" s="24"/>
      <x:c r="F968" s="24"/>
      <x:c r="G968" s="24"/>
      <x:c r="H968" s="24"/>
      <x:c r="I968" s="24"/>
    </x:row>
    <x:row r="969">
      <x:c r="E969" s="24"/>
      <x:c r="F969" s="24"/>
      <x:c r="G969" s="24"/>
      <x:c r="H969" s="24"/>
      <x:c r="I969" s="24"/>
    </x:row>
    <x:row r="970">
      <x:c r="E970" s="24"/>
      <x:c r="F970" s="24"/>
      <x:c r="G970" s="24"/>
      <x:c r="H970" s="24"/>
      <x:c r="I970" s="24"/>
    </x:row>
    <x:row r="971">
      <x:c r="E971" s="24"/>
      <x:c r="F971" s="24"/>
      <x:c r="G971" s="24"/>
      <x:c r="H971" s="24"/>
      <x:c r="I971" s="24"/>
    </x:row>
    <x:row r="972">
      <x:c r="E972" s="24"/>
      <x:c r="F972" s="24"/>
      <x:c r="G972" s="24"/>
      <x:c r="H972" s="24"/>
      <x:c r="I972" s="24"/>
    </x:row>
    <x:row r="973">
      <x:c r="E973" s="24"/>
      <x:c r="F973" s="24"/>
      <x:c r="G973" s="24"/>
      <x:c r="H973" s="24"/>
      <x:c r="I973" s="24"/>
    </x:row>
    <x:row r="974">
      <x:c r="E974" s="24"/>
      <x:c r="F974" s="24"/>
      <x:c r="G974" s="24"/>
      <x:c r="H974" s="24"/>
      <x:c r="I974" s="24"/>
    </x:row>
    <x:row r="975">
      <x:c r="E975" s="24"/>
      <x:c r="F975" s="24"/>
      <x:c r="G975" s="24"/>
      <x:c r="H975" s="24"/>
      <x:c r="I975" s="24"/>
    </x:row>
    <x:row r="976">
      <x:c r="E976" s="24"/>
      <x:c r="F976" s="24"/>
      <x:c r="G976" s="24"/>
      <x:c r="H976" s="24"/>
      <x:c r="I976" s="24"/>
    </x:row>
    <x:row r="977">
      <x:c r="E977" s="24"/>
      <x:c r="F977" s="24"/>
      <x:c r="G977" s="24"/>
      <x:c r="H977" s="24"/>
      <x:c r="I977" s="24"/>
    </x:row>
    <x:row r="978">
      <x:c r="E978" s="24"/>
      <x:c r="F978" s="24"/>
      <x:c r="G978" s="24"/>
      <x:c r="H978" s="24"/>
      <x:c r="I978" s="24"/>
    </x:row>
    <x:row r="979">
      <x:c r="E979" s="24"/>
      <x:c r="F979" s="24"/>
      <x:c r="G979" s="24"/>
      <x:c r="H979" s="24"/>
      <x:c r="I979" s="24"/>
    </x:row>
    <x:row r="980">
      <x:c r="E980" s="24"/>
      <x:c r="F980" s="24"/>
      <x:c r="G980" s="24"/>
      <x:c r="H980" s="24"/>
      <x:c r="I980" s="24"/>
    </x:row>
    <x:row r="981">
      <x:c r="E981" s="24"/>
      <x:c r="F981" s="24"/>
      <x:c r="G981" s="24"/>
      <x:c r="H981" s="24"/>
      <x:c r="I981" s="24"/>
    </x:row>
    <x:row r="982">
      <x:c r="E982" s="24"/>
      <x:c r="F982" s="24"/>
      <x:c r="G982" s="24"/>
      <x:c r="H982" s="24"/>
      <x:c r="I982" s="24"/>
    </x:row>
    <x:row r="983">
      <x:c r="E983" s="24"/>
      <x:c r="F983" s="24"/>
      <x:c r="G983" s="24"/>
      <x:c r="H983" s="24"/>
      <x:c r="I983" s="24"/>
    </x:row>
    <x:row r="984">
      <x:c r="E984" s="24"/>
      <x:c r="F984" s="24"/>
      <x:c r="G984" s="24"/>
      <x:c r="H984" s="24"/>
      <x:c r="I984" s="24"/>
    </x:row>
    <x:row r="985">
      <x:c r="E985" s="24"/>
      <x:c r="F985" s="24"/>
      <x:c r="G985" s="24"/>
      <x:c r="H985" s="24"/>
      <x:c r="I985" s="24"/>
    </x:row>
    <x:row r="986">
      <x:c r="E986" s="24"/>
      <x:c r="F986" s="24"/>
      <x:c r="G986" s="24"/>
      <x:c r="H986" s="24"/>
      <x:c r="I986" s="24"/>
    </x:row>
    <x:row r="987">
      <x:c r="E987" s="24"/>
      <x:c r="F987" s="24"/>
      <x:c r="G987" s="24"/>
      <x:c r="H987" s="24"/>
      <x:c r="I987" s="24"/>
    </x:row>
    <x:row r="988">
      <x:c r="E988" s="24"/>
      <x:c r="F988" s="24"/>
      <x:c r="G988" s="24"/>
      <x:c r="H988" s="24"/>
      <x:c r="I988" s="24"/>
    </x:row>
    <x:row r="989">
      <x:c r="E989" s="24"/>
      <x:c r="F989" s="24"/>
      <x:c r="G989" s="24"/>
      <x:c r="H989" s="24"/>
      <x:c r="I989" s="24"/>
    </x:row>
    <x:row r="990">
      <x:c r="E990" s="24"/>
      <x:c r="F990" s="24"/>
      <x:c r="G990" s="24"/>
      <x:c r="H990" s="24"/>
      <x:c r="I990" s="24"/>
    </x:row>
    <x:row r="991">
      <x:c r="E991" s="24"/>
      <x:c r="F991" s="24"/>
      <x:c r="G991" s="24"/>
      <x:c r="H991" s="24"/>
      <x:c r="I991" s="24"/>
    </x:row>
    <x:row r="992">
      <x:c r="E992" s="24"/>
      <x:c r="F992" s="24"/>
      <x:c r="G992" s="24"/>
      <x:c r="H992" s="24"/>
      <x:c r="I992" s="24"/>
    </x:row>
    <x:row r="993">
      <x:c r="E993" s="24"/>
      <x:c r="F993" s="24"/>
      <x:c r="G993" s="24"/>
      <x:c r="H993" s="24"/>
      <x:c r="I993" s="24"/>
    </x:row>
    <x:row r="994">
      <x:c r="E994" s="24"/>
      <x:c r="F994" s="24"/>
      <x:c r="G994" s="24"/>
      <x:c r="H994" s="24"/>
      <x:c r="I994" s="24"/>
    </x:row>
    <x:row r="995">
      <x:c r="E995" s="24"/>
      <x:c r="F995" s="24"/>
      <x:c r="G995" s="24"/>
      <x:c r="H995" s="24"/>
      <x:c r="I995" s="24"/>
    </x:row>
    <x:row r="996">
      <x:c r="E996" s="24"/>
      <x:c r="F996" s="24"/>
      <x:c r="G996" s="24"/>
      <x:c r="H996" s="24"/>
      <x:c r="I996" s="24"/>
    </x:row>
    <x:row r="997">
      <x:c r="E997" s="24"/>
      <x:c r="F997" s="24"/>
      <x:c r="G997" s="24"/>
      <x:c r="H997" s="24"/>
      <x:c r="I997" s="24"/>
    </x:row>
    <x:row r="998">
      <x:c r="E998" s="24"/>
      <x:c r="F998" s="24"/>
      <x:c r="G998" s="24"/>
      <x:c r="H998" s="24"/>
      <x:c r="I998" s="24"/>
    </x:row>
    <x:row r="999">
      <x:c r="E999" s="24"/>
      <x:c r="F999" s="24"/>
      <x:c r="G999" s="24"/>
      <x:c r="H999" s="24"/>
      <x:c r="I999" s="24"/>
    </x:row>
    <x:row r="1000">
      <x:c r="E1000" s="24"/>
      <x:c r="F1000" s="24"/>
      <x:c r="G1000" s="24"/>
      <x:c r="H1000" s="24"/>
      <x:c r="I1000" s="24"/>
    </x:row>
  </x:sheetData>
  <x:conditionalFormatting sqref="H2:H597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{1934E816-5EC1-98CE-E7EA-FE391FA8671F}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c94929d3ab74a6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934E816-5EC1-98CE-E7EA-FE391FA8671F}">
            <x14:dataBar gradient="1">
              <x14:cfvo type="min"/>
              <x14:cfvo type="max"/>
              <x14:fillColor rgb="FFA02B93"/>
            </x14:dataBar>
          </x14:cfRule>
          <xm:sqref>H2:H597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85" hidden="0" customWidth="1"/>
  </x:cols>
  <x:sheetData>
    <x:row r="1">
      <x:c r="A1" s="5" t="str">
        <x:v>election_id</x:v>
      </x:c>
      <x:c r="B1" s="5" t="str">
        <x:v>status</x:v>
      </x:c>
      <x:c r="C1" s="5" t="str">
        <x:v>note</x:v>
      </x:c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DE_RP_2026</x:v>
      </x:c>
      <x:c r="B2" t="str">
        <x:v>complete</x:v>
      </x:c>
      <x:c r="C2" t="str">
        <x:v>Raw table and source-reported SSE captured.</x:v>
      </x:c>
    </x:row>
    <x:row r="3">
      <x:c r="A3" t="str">
        <x:v>DE_HH_2025</x:v>
      </x:c>
      <x:c r="B3" t="str">
        <x:v>complete_with_aggregation_caveat</x:v>
      </x:c>
      <x:c r="C3" t="str">
        <x:v>Different pollsters published different party sets; aggregation rule stored per comparison.</x:v>
      </x:c>
    </x:row>
    <x:row r="4">
      <x:c r="A4" t="str">
        <x:v>DE_BB_2024</x:v>
      </x:c>
      <x:c r="B4" t="str">
        <x:v>complete</x:v>
      </x:c>
      <x:c r="C4" t="str">
        <x:v>Raw table and source-reported SSE captured.</x:v>
      </x:c>
    </x:row>
    <x:row r="5">
      <x:c r="A5" t="str">
        <x:v>DE_TH_2024</x:v>
      </x:c>
      <x:c r="B5" t="str">
        <x:v>complete</x:v>
      </x:c>
      <x:c r="C5" t="str">
        <x:v>Raw table and source-reported SSE captured.</x:v>
      </x:c>
    </x:row>
    <x:row r="6">
      <x:c r="A6" t="str">
        <x:v>DE_SN_2024</x:v>
      </x:c>
      <x:c r="B6" t="str">
        <x:v>complete</x:v>
      </x:c>
      <x:c r="C6" t="str">
        <x:v>Raw table captured from article image; source-reported SSE captured.</x:v>
      </x:c>
    </x:row>
    <x:row r="7">
      <x:c r="A7" t="str">
        <x:v>DE_EP_2024</x:v>
      </x:c>
      <x:c r="B7" t="str">
        <x:v>complete</x:v>
      </x:c>
      <x:c r="C7" t="str">
        <x:v>Raw table and source-reported SSE captured.</x:v>
      </x:c>
    </x:row>
    <x:row r="8">
      <x:c r="A8" t="str">
        <x:v>DE_HE_2023</x:v>
      </x:c>
      <x:c r="B8" t="str">
        <x:v>complete_with_aggregation_caveat</x:v>
      </x:c>
      <x:c r="C8" t="str">
        <x:v>Civey aggregated Freie Wähler into Others.</x:v>
      </x:c>
    </x:row>
    <x:row r="9">
      <x:c r="A9" t="str">
        <x:v>DE_BY_2023</x:v>
      </x:c>
      <x:c r="B9" t="str">
        <x:v>complete_with_aggregation_caveat</x:v>
      </x:c>
      <x:c r="C9" t="str">
        <x:v>FGW and Infratest dimap aggregated LINKE into Others; other pollsters reported LINKE separately.</x:v>
      </x:c>
    </x:row>
    <x:row r="10">
      <x:c r="A10" t="str">
        <x:v>DE_BE_2023</x:v>
      </x:c>
      <x:c r="B10" t="str">
        <x:v>complete</x:v>
      </x:c>
      <x:c r="C10" t="str">
        <x:v>Raw table and source-reported SSE captured.</x:v>
      </x:c>
    </x:row>
    <x:row r="11">
      <x:c r="A11" t="str">
        <x:v>DE_NI_2022</x:v>
      </x:c>
      <x:c r="B11" t="str">
        <x:v>complete</x:v>
      </x:c>
      <x:c r="C11" t="str">
        <x:v>Raw table and source-reported SSE captured.</x:v>
      </x:c>
    </x:row>
    <x:row r="12">
      <x:c r="A12" t="str">
        <x:v>DE_SH_2022</x:v>
      </x:c>
      <x:c r="B12" t="str">
        <x:v>complete_with_aggregation_caveat</x:v>
      </x:c>
      <x:c r="C12" t="str">
        <x:v>LINKE included in Others in published comparison.</x:v>
      </x:c>
    </x:row>
    <x:row r="13">
      <x:c r="A13" t="str">
        <x:v>DE_SL_2022</x:v>
      </x:c>
      <x:c r="B13" t="str">
        <x:v>partial</x:v>
      </x:c>
      <x:c r="C13" t="str">
        <x:v>FGW, INSA and Infratest raw values reconstructed; Civey raw party values still missing from parsed article table.</x:v>
      </x:c>
    </x:row>
    <x:row r="14">
      <x:c r="A14" t="str">
        <x:v>DE_BT_2021</x:v>
      </x:c>
      <x:c r="B14" t="str">
        <x:v>mostly_complete</x:v>
      </x:c>
      <x:c r="C14" t="str">
        <x:v>Nine article-relevant polls populated; top-three reported SSE reproduced using provisional result convention. Some source-reported SSE values were not printed in article prose.</x:v>
      </x:c>
    </x:row>
    <x:row r="15">
      <x:c r="A15" t="str">
        <x:v>DE_ST_2021</x:v>
      </x:c>
      <x:c r="B15" t="str">
        <x:v>complete</x:v>
      </x:c>
      <x:c r="C15" t="str">
        <x:v>Raw article table captured.</x:v>
      </x:c>
    </x:row>
    <x:row r="16">
      <x:c r="A16" t="str">
        <x:v>DE_BW_2021</x:v>
      </x:c>
      <x:c r="B16" t="str">
        <x:v>complete</x:v>
      </x:c>
      <x:c r="C16" t="str">
        <x:v>Raw article table captured.</x:v>
      </x:c>
    </x:row>
    <x:row r="17">
      <x:c r="A17" t="str">
        <x:v>DE_RP_2021</x:v>
      </x:c>
      <x:c r="B17" t="str">
        <x:v>complete</x:v>
      </x:c>
      <x:c r="C17" t="str">
        <x:v>Raw article table captured.</x:v>
      </x:c>
    </x:row>
    <x:row r="18">
      <x:c r="A18" t="str">
        <x:v>DE_HH_2020</x:v>
      </x:c>
      <x:c r="B18" t="str">
        <x:v>complete</x:v>
      </x:c>
      <x:c r="C18" t="str">
        <x:v>Raw article table captured.</x:v>
      </x:c>
    </x:row>
  </x:sheetData>
  <x:pageMargins left="0.7" right="0.7" top="0.75" bottom="0.75" header="0.3" footer="0.3"/>
  <x:tableParts count="1">
    <x:tablePart xmlns:r="http://schemas.openxmlformats.org/officeDocument/2006/relationships" r:id="R839d5a1ece9646e2"/>
  </x:tableParts>
</x:worksheet>
</file>